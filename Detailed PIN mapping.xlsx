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kmeezan_calpoly_edu/Documents/ME 405 Group 9 8am/"/>
    </mc:Choice>
  </mc:AlternateContent>
  <xr:revisionPtr revIDLastSave="168" documentId="8_{F3052651-B997-4C1C-B164-8FA03A2EDCB2}" xr6:coauthVersionLast="47" xr6:coauthVersionMax="47" xr10:uidLastSave="{D261FBAB-0E6E-4E62-8534-DCB643B254E4}"/>
  <bookViews>
    <workbookView xWindow="-108" yWindow="-108" windowWidth="23256" windowHeight="13896" activeTab="3" xr2:uid="{B49BA95D-EBC2-4C6F-9897-9835EA36E01A}"/>
  </bookViews>
  <sheets>
    <sheet name="Connection Guide" sheetId="1" r:id="rId1"/>
    <sheet name="Pin selection, report" sheetId="5" r:id="rId2"/>
    <sheet name="CN7 Schematic" sheetId="2" r:id="rId3"/>
    <sheet name="CN10 Schematic" sheetId="3" r:id="rId4"/>
    <sheet name="All Port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3" l="1" a="1"/>
  <c r="I1" i="3" s="1"/>
  <c r="I1" i="2" a="1"/>
  <c r="I1" i="2" s="1"/>
  <c r="D8" i="2" l="1" a="1"/>
  <c r="D8" i="2" s="1"/>
  <c r="D13" i="3" a="1"/>
  <c r="D13" i="3" s="1"/>
  <c r="C18" i="3" a="1"/>
  <c r="C18" i="3" s="1"/>
  <c r="C17" i="3" a="1"/>
  <c r="C17" i="3" s="1"/>
  <c r="C16" i="3" a="1"/>
  <c r="C16" i="3" s="1"/>
  <c r="C15" i="3" a="1"/>
  <c r="C15" i="3" s="1"/>
  <c r="D12" i="2" a="1"/>
  <c r="D12" i="2" s="1"/>
  <c r="D3" i="3" a="1"/>
  <c r="D3" i="3" s="1"/>
  <c r="C2" i="2" a="1"/>
  <c r="C2" i="2" s="1"/>
  <c r="C20" i="2" a="1"/>
  <c r="C20" i="2" s="1"/>
  <c r="D7" i="2" a="1"/>
  <c r="D7" i="2" s="1"/>
  <c r="C3" i="2" a="1"/>
  <c r="C3" i="2" s="1"/>
  <c r="D6" i="2" a="1"/>
  <c r="D6" i="2" s="1"/>
  <c r="C17" i="2" a="1"/>
  <c r="C17" i="2" s="1"/>
  <c r="D20" i="2" a="1"/>
  <c r="D20" i="2" s="1"/>
  <c r="D9" i="3" a="1"/>
  <c r="D9" i="3" s="1"/>
  <c r="C14" i="3" a="1"/>
  <c r="C14" i="3" s="1"/>
  <c r="C6" i="2" a="1"/>
  <c r="C6" i="2" s="1"/>
  <c r="C5" i="2" a="1"/>
  <c r="C5" i="2" s="1"/>
  <c r="C4" i="2" a="1"/>
  <c r="C4" i="2" s="1"/>
  <c r="D12" i="3" a="1"/>
  <c r="D12" i="3" s="1"/>
  <c r="D11" i="3" a="1"/>
  <c r="D11" i="3" s="1"/>
  <c r="D10" i="3" a="1"/>
  <c r="D10" i="3" s="1"/>
  <c r="D19" i="2" a="1"/>
  <c r="D19" i="2" s="1"/>
  <c r="D5" i="2" a="1"/>
  <c r="D5" i="2" s="1"/>
  <c r="D8" i="3" a="1"/>
  <c r="D8" i="3" s="1"/>
  <c r="C13" i="3" a="1"/>
  <c r="C13" i="3" s="1"/>
  <c r="C18" i="2" a="1"/>
  <c r="C18" i="2" s="1"/>
  <c r="C16" i="2" a="1"/>
  <c r="C16" i="2" s="1"/>
  <c r="D18" i="2" a="1"/>
  <c r="D18" i="2" s="1"/>
  <c r="D4" i="2" a="1"/>
  <c r="D4" i="2" s="1"/>
  <c r="C12" i="3" a="1"/>
  <c r="C12" i="3" s="1"/>
  <c r="C19" i="2" a="1"/>
  <c r="C19" i="2" s="1"/>
  <c r="D2" i="2" a="1"/>
  <c r="D2" i="2" s="1"/>
  <c r="C15" i="2" a="1"/>
  <c r="C15" i="2" s="1"/>
  <c r="C14" i="2" a="1"/>
  <c r="C14" i="2" s="1"/>
  <c r="D17" i="2" a="1"/>
  <c r="D17" i="2" s="1"/>
  <c r="D3" i="2" a="1"/>
  <c r="D3" i="2" s="1"/>
  <c r="D7" i="3" a="1"/>
  <c r="D7" i="3" s="1"/>
  <c r="C11" i="3" a="1"/>
  <c r="C11" i="3" s="1"/>
  <c r="C10" i="3" a="1"/>
  <c r="C10" i="3" s="1"/>
  <c r="C9" i="3" a="1"/>
  <c r="C9" i="3" s="1"/>
  <c r="C13" i="2" a="1"/>
  <c r="C13" i="2" s="1"/>
  <c r="D16" i="2" a="1"/>
  <c r="D16" i="2" s="1"/>
  <c r="D2" i="3" a="1"/>
  <c r="D2" i="3" s="1"/>
  <c r="C12" i="2" a="1"/>
  <c r="C12" i="2" s="1"/>
  <c r="D15" i="2" a="1"/>
  <c r="D15" i="2" s="1"/>
  <c r="D20" i="3" a="1"/>
  <c r="D20" i="3" s="1"/>
  <c r="D6" i="3" a="1"/>
  <c r="D6" i="3" s="1"/>
  <c r="C11" i="2" a="1"/>
  <c r="C11" i="2" s="1"/>
  <c r="D14" i="2" a="1"/>
  <c r="D14" i="2" s="1"/>
  <c r="D19" i="3" a="1"/>
  <c r="D19" i="3" s="1"/>
  <c r="D5" i="3" a="1"/>
  <c r="D5" i="3" s="1"/>
  <c r="C8" i="3" a="1"/>
  <c r="C8" i="3" s="1"/>
  <c r="C10" i="2" a="1"/>
  <c r="C10" i="2" s="1"/>
  <c r="D13" i="2" a="1"/>
  <c r="D13" i="2" s="1"/>
  <c r="D18" i="3" a="1"/>
  <c r="D18" i="3" s="1"/>
  <c r="D4" i="3" a="1"/>
  <c r="D4" i="3" s="1"/>
  <c r="C7" i="3" a="1"/>
  <c r="C7" i="3" s="1"/>
  <c r="C6" i="3" a="1"/>
  <c r="C6" i="3" s="1"/>
  <c r="C9" i="2" a="1"/>
  <c r="C9" i="2" s="1"/>
  <c r="D17" i="3" a="1"/>
  <c r="D17" i="3" s="1"/>
  <c r="C8" i="2" a="1"/>
  <c r="C8" i="2" s="1"/>
  <c r="D11" i="2" a="1"/>
  <c r="D11" i="2" s="1"/>
  <c r="D16" i="3" a="1"/>
  <c r="D16" i="3" s="1"/>
  <c r="C2" i="3" a="1"/>
  <c r="C2" i="3" s="1"/>
  <c r="C5" i="3" a="1"/>
  <c r="C5" i="3" s="1"/>
  <c r="C7" i="2" a="1"/>
  <c r="C7" i="2" s="1"/>
  <c r="D10" i="2" a="1"/>
  <c r="D10" i="2" s="1"/>
  <c r="D15" i="3" a="1"/>
  <c r="D15" i="3" s="1"/>
  <c r="C20" i="3" a="1"/>
  <c r="C20" i="3" s="1"/>
  <c r="C4" i="3" a="1"/>
  <c r="C4" i="3" s="1"/>
  <c r="D9" i="2" a="1"/>
  <c r="D9" i="2" s="1"/>
  <c r="D14" i="3" a="1"/>
  <c r="D14" i="3" s="1"/>
  <c r="C19" i="3" a="1"/>
  <c r="C19" i="3" s="1"/>
  <c r="C3" i="3" a="1"/>
  <c r="C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<sst xmlns="http://schemas.openxmlformats.org/spreadsheetml/2006/main" count="556" uniqueCount="181">
  <si>
    <t>Right Motor:</t>
  </si>
  <si>
    <t>Pin</t>
  </si>
  <si>
    <t>Wire color</t>
  </si>
  <si>
    <t>CN</t>
  </si>
  <si>
    <t>L/R on CN</t>
  </si>
  <si>
    <t># of pins</t>
  </si>
  <si>
    <t>from top/bottom</t>
  </si>
  <si>
    <t>Pin Mode</t>
  </si>
  <si>
    <t>AF</t>
  </si>
  <si>
    <t>Timer</t>
  </si>
  <si>
    <t>Channel</t>
  </si>
  <si>
    <t>rmot_PWM</t>
  </si>
  <si>
    <t>A6</t>
  </si>
  <si>
    <t>Green</t>
  </si>
  <si>
    <t>CN10</t>
  </si>
  <si>
    <t>L</t>
  </si>
  <si>
    <t>top</t>
  </si>
  <si>
    <t>Timer.PWM</t>
  </si>
  <si>
    <t>rmot_DIR</t>
  </si>
  <si>
    <t>A1</t>
  </si>
  <si>
    <t>Blue</t>
  </si>
  <si>
    <t>CN7</t>
  </si>
  <si>
    <t>R</t>
  </si>
  <si>
    <t>bottom</t>
  </si>
  <si>
    <t>OUT_PP</t>
  </si>
  <si>
    <t>rmot_nSLP</t>
  </si>
  <si>
    <t>A0</t>
  </si>
  <si>
    <t>Yellow</t>
  </si>
  <si>
    <t>Right Encoder:</t>
  </si>
  <si>
    <t>renc_ChA</t>
  </si>
  <si>
    <t>B4</t>
  </si>
  <si>
    <t>renc_ChB</t>
  </si>
  <si>
    <t>B5</t>
  </si>
  <si>
    <t>Left Motor:</t>
  </si>
  <si>
    <t>lmot_PWM</t>
  </si>
  <si>
    <t>B9</t>
  </si>
  <si>
    <t>lmot_DIR</t>
  </si>
  <si>
    <t>C9</t>
  </si>
  <si>
    <t>lmot_nSLP</t>
  </si>
  <si>
    <t>C8</t>
  </si>
  <si>
    <t>Left Encoder:</t>
  </si>
  <si>
    <t>lenc_ChA</t>
  </si>
  <si>
    <t>A8</t>
  </si>
  <si>
    <t>lenc_ChB</t>
  </si>
  <si>
    <t>A9</t>
  </si>
  <si>
    <t>Power:</t>
  </si>
  <si>
    <t>nucleo_Power</t>
  </si>
  <si>
    <t>VIN</t>
  </si>
  <si>
    <t>Red</t>
  </si>
  <si>
    <t>nucleo_GND</t>
  </si>
  <si>
    <t>GND</t>
  </si>
  <si>
    <t>Black</t>
  </si>
  <si>
    <t>nucleo_Battery read</t>
  </si>
  <si>
    <t>C2</t>
  </si>
  <si>
    <t>Light Blue</t>
  </si>
  <si>
    <t>ANALOG</t>
  </si>
  <si>
    <t>Bluetooth:</t>
  </si>
  <si>
    <t>bt_GND</t>
  </si>
  <si>
    <t>either</t>
  </si>
  <si>
    <t>bt_VCC</t>
  </si>
  <si>
    <t>5V</t>
  </si>
  <si>
    <t>Purple</t>
  </si>
  <si>
    <t>bt_RXD</t>
  </si>
  <si>
    <t>B6</t>
  </si>
  <si>
    <t>Orange</t>
  </si>
  <si>
    <t>ALT</t>
  </si>
  <si>
    <t>USART1</t>
  </si>
  <si>
    <t>TX</t>
  </si>
  <si>
    <t>bt_TXD</t>
  </si>
  <si>
    <t>B7</t>
  </si>
  <si>
    <t>White</t>
  </si>
  <si>
    <t>RX</t>
  </si>
  <si>
    <t>Common 3.3V:</t>
  </si>
  <si>
    <t>V3.3</t>
  </si>
  <si>
    <t>3.3V</t>
  </si>
  <si>
    <t>IR Sensor:</t>
  </si>
  <si>
    <t>IR_CH1</t>
  </si>
  <si>
    <t>C3</t>
  </si>
  <si>
    <t>IR_CH3</t>
  </si>
  <si>
    <t>A4</t>
  </si>
  <si>
    <t>IR_CH5</t>
  </si>
  <si>
    <t>B0</t>
  </si>
  <si>
    <t>IR_CH7</t>
  </si>
  <si>
    <t>C1</t>
  </si>
  <si>
    <t>IR_CH9</t>
  </si>
  <si>
    <t>C0</t>
  </si>
  <si>
    <t>IR_CH11</t>
  </si>
  <si>
    <t>C4</t>
  </si>
  <si>
    <t>IR_CH13</t>
  </si>
  <si>
    <t>C5</t>
  </si>
  <si>
    <t>ir_GND</t>
  </si>
  <si>
    <t>Common 3.3V</t>
  </si>
  <si>
    <t>ir (unused) 2</t>
  </si>
  <si>
    <t>ir (unused) 4</t>
  </si>
  <si>
    <t>(unused) 6</t>
  </si>
  <si>
    <t>(unused) 8</t>
  </si>
  <si>
    <t>(unused) 10</t>
  </si>
  <si>
    <t>IR_ctrl_odds</t>
  </si>
  <si>
    <t>IR_ctrl_evens</t>
  </si>
  <si>
    <t>IMU:</t>
  </si>
  <si>
    <t>imu_VIN</t>
  </si>
  <si>
    <t>imu_GND</t>
  </si>
  <si>
    <t>imu_SDA</t>
  </si>
  <si>
    <t>imu_SCL</t>
  </si>
  <si>
    <t>imu_RST</t>
  </si>
  <si>
    <t># Pin from top L</t>
  </si>
  <si>
    <t># Pin from bottom L</t>
  </si>
  <si>
    <t># Pin from top R</t>
  </si>
  <si>
    <t># Pin from bottom R</t>
  </si>
  <si>
    <t>Y</t>
  </si>
  <si>
    <t>H1</t>
  </si>
  <si>
    <t>H0</t>
  </si>
  <si>
    <t>D2</t>
  </si>
  <si>
    <t>BAD</t>
  </si>
  <si>
    <t>N</t>
  </si>
  <si>
    <t>C15</t>
  </si>
  <si>
    <t>C14</t>
  </si>
  <si>
    <t>C13</t>
  </si>
  <si>
    <t>C12</t>
  </si>
  <si>
    <t>C11</t>
  </si>
  <si>
    <t>C10</t>
  </si>
  <si>
    <t>mot_left</t>
  </si>
  <si>
    <t>C7</t>
  </si>
  <si>
    <t>C6</t>
  </si>
  <si>
    <t>BAT_READ</t>
  </si>
  <si>
    <t>B15</t>
  </si>
  <si>
    <t>B14</t>
  </si>
  <si>
    <t>B13</t>
  </si>
  <si>
    <t>B12</t>
  </si>
  <si>
    <t>B11</t>
  </si>
  <si>
    <t>B10</t>
  </si>
  <si>
    <t>B8</t>
  </si>
  <si>
    <t>UART</t>
  </si>
  <si>
    <t>ch1Right</t>
  </si>
  <si>
    <t>B3</t>
  </si>
  <si>
    <t>B2</t>
  </si>
  <si>
    <t>B1</t>
  </si>
  <si>
    <t>A15</t>
  </si>
  <si>
    <t>A14</t>
  </si>
  <si>
    <t>A13</t>
  </si>
  <si>
    <t>A12</t>
  </si>
  <si>
    <t>A11</t>
  </si>
  <si>
    <t>x</t>
  </si>
  <si>
    <t>A10</t>
  </si>
  <si>
    <t>ch1Left</t>
  </si>
  <si>
    <t>A7</t>
  </si>
  <si>
    <t>mot_right</t>
  </si>
  <si>
    <t>A5</t>
  </si>
  <si>
    <t>A3</t>
  </si>
  <si>
    <t>A2</t>
  </si>
  <si>
    <t>AF15</t>
  </si>
  <si>
    <t>AF14</t>
  </si>
  <si>
    <t>AF13</t>
  </si>
  <si>
    <t>AF12</t>
  </si>
  <si>
    <t>AF11</t>
  </si>
  <si>
    <t>AF10</t>
  </si>
  <si>
    <t>AF9</t>
  </si>
  <si>
    <t>AF8</t>
  </si>
  <si>
    <t>AF7</t>
  </si>
  <si>
    <t>AF6</t>
  </si>
  <si>
    <t>AF5</t>
  </si>
  <si>
    <t>AF4</t>
  </si>
  <si>
    <t>AF3</t>
  </si>
  <si>
    <t>AF2</t>
  </si>
  <si>
    <t>AF1</t>
  </si>
  <si>
    <t>AF0</t>
  </si>
  <si>
    <t>Use</t>
  </si>
  <si>
    <t>Available?</t>
  </si>
  <si>
    <t>Pins</t>
  </si>
  <si>
    <t>IMU</t>
  </si>
  <si>
    <t>I2C2</t>
  </si>
  <si>
    <t>SDA</t>
  </si>
  <si>
    <t>SCL</t>
  </si>
  <si>
    <t>IMU_SDA</t>
  </si>
  <si>
    <t>IMU_SCL</t>
  </si>
  <si>
    <t>Bump Sensors:</t>
  </si>
  <si>
    <t>BMP_R</t>
  </si>
  <si>
    <t>BMP_L</t>
  </si>
  <si>
    <t>IN and PULL_UP</t>
  </si>
  <si>
    <t>GND_BMP_R</t>
  </si>
  <si>
    <t>GND_BMP_L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</si>
</sst>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5" borderId="6" xfId="0" applyFill="1" applyBorder="1"/>
    <xf numFmtId="0" fontId="0" fillId="5" borderId="5" xfId="0" applyFill="1" applyBorder="1"/>
    <xf numFmtId="0" fontId="1" fillId="2" borderId="1" xfId="0" applyFont="1" applyFill="1" applyBorder="1"/>
    <xf numFmtId="0" fontId="1" fillId="12" borderId="1" xfId="0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82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04BD-044E-45B1-9A25-231DF70327D2}">
  <dimension ref="A1:K53"/>
  <sheetViews>
    <sheetView zoomScale="80" zoomScaleNormal="80" workbookViewId="0">
      <selection activeCell="B1" sqref="B1"/>
    </sheetView>
  </sheetViews>
  <sheetFormatPr defaultRowHeight="14.4" x14ac:dyDescent="0.3"/>
  <cols>
    <col min="1" max="1" width="22.33203125" customWidth="1"/>
    <col min="2" max="2" width="13.5546875" customWidth="1"/>
    <col min="3" max="3" width="12.88671875" customWidth="1"/>
    <col min="7" max="7" width="15.33203125" customWidth="1"/>
    <col min="8" max="8" width="11.44140625" customWidth="1"/>
  </cols>
  <sheetData>
    <row r="1" spans="1:1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7</v>
      </c>
      <c r="G2" t="s">
        <v>16</v>
      </c>
      <c r="H2" t="s">
        <v>17</v>
      </c>
      <c r="I2">
        <v>14</v>
      </c>
      <c r="J2">
        <v>16</v>
      </c>
      <c r="K2">
        <v>1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5</v>
      </c>
      <c r="G3" t="s">
        <v>23</v>
      </c>
      <c r="H3" t="s">
        <v>24</v>
      </c>
    </row>
    <row r="4" spans="1:11" x14ac:dyDescent="0.3">
      <c r="A4" t="s">
        <v>25</v>
      </c>
      <c r="B4" t="s">
        <v>26</v>
      </c>
      <c r="C4" t="s">
        <v>27</v>
      </c>
      <c r="D4" t="s">
        <v>21</v>
      </c>
      <c r="E4" t="s">
        <v>22</v>
      </c>
      <c r="F4">
        <v>6</v>
      </c>
      <c r="G4" t="s">
        <v>23</v>
      </c>
      <c r="H4" t="s">
        <v>24</v>
      </c>
    </row>
    <row r="5" spans="1:11" x14ac:dyDescent="0.3">
      <c r="A5" s="1" t="s">
        <v>28</v>
      </c>
    </row>
    <row r="6" spans="1:11" x14ac:dyDescent="0.3">
      <c r="A6" t="s">
        <v>29</v>
      </c>
      <c r="B6" t="s">
        <v>30</v>
      </c>
      <c r="C6" t="s">
        <v>20</v>
      </c>
      <c r="D6" t="s">
        <v>14</v>
      </c>
      <c r="E6" t="s">
        <v>15</v>
      </c>
      <c r="F6">
        <v>6</v>
      </c>
      <c r="G6" t="s">
        <v>23</v>
      </c>
      <c r="H6" t="s">
        <v>24</v>
      </c>
      <c r="I6">
        <v>2</v>
      </c>
      <c r="J6">
        <v>3</v>
      </c>
      <c r="K6">
        <v>1</v>
      </c>
    </row>
    <row r="7" spans="1:11" x14ac:dyDescent="0.3">
      <c r="A7" t="s">
        <v>31</v>
      </c>
      <c r="B7" t="s">
        <v>32</v>
      </c>
      <c r="C7" t="s">
        <v>27</v>
      </c>
      <c r="D7" t="s">
        <v>14</v>
      </c>
      <c r="E7" t="s">
        <v>15</v>
      </c>
      <c r="F7">
        <v>5</v>
      </c>
      <c r="G7" t="s">
        <v>23</v>
      </c>
      <c r="H7" t="s">
        <v>24</v>
      </c>
      <c r="I7">
        <v>2</v>
      </c>
      <c r="J7">
        <v>3</v>
      </c>
      <c r="K7">
        <v>2</v>
      </c>
    </row>
    <row r="8" spans="1:11" x14ac:dyDescent="0.3">
      <c r="A8" s="1" t="s">
        <v>33</v>
      </c>
    </row>
    <row r="9" spans="1:11" x14ac:dyDescent="0.3">
      <c r="A9" t="s">
        <v>34</v>
      </c>
      <c r="B9" t="s">
        <v>35</v>
      </c>
      <c r="C9" t="s">
        <v>13</v>
      </c>
      <c r="D9" t="s">
        <v>14</v>
      </c>
      <c r="E9" t="s">
        <v>15</v>
      </c>
      <c r="F9">
        <v>3</v>
      </c>
      <c r="G9" t="s">
        <v>16</v>
      </c>
      <c r="H9" t="s">
        <v>17</v>
      </c>
      <c r="I9">
        <v>14</v>
      </c>
      <c r="J9">
        <v>17</v>
      </c>
      <c r="K9">
        <v>1</v>
      </c>
    </row>
    <row r="10" spans="1:11" x14ac:dyDescent="0.3">
      <c r="A10" t="s">
        <v>36</v>
      </c>
      <c r="B10" t="s">
        <v>37</v>
      </c>
      <c r="C10" t="s">
        <v>20</v>
      </c>
      <c r="D10" t="s">
        <v>14</v>
      </c>
      <c r="E10" t="s">
        <v>15</v>
      </c>
      <c r="F10">
        <v>1</v>
      </c>
      <c r="G10" t="s">
        <v>16</v>
      </c>
      <c r="H10" t="s">
        <v>24</v>
      </c>
    </row>
    <row r="11" spans="1:11" x14ac:dyDescent="0.3">
      <c r="A11" t="s">
        <v>38</v>
      </c>
      <c r="B11" t="s">
        <v>39</v>
      </c>
      <c r="C11" t="s">
        <v>27</v>
      </c>
      <c r="D11" t="s">
        <v>14</v>
      </c>
      <c r="E11" t="s">
        <v>22</v>
      </c>
      <c r="F11">
        <v>1</v>
      </c>
      <c r="G11" t="s">
        <v>16</v>
      </c>
      <c r="H11" t="s">
        <v>24</v>
      </c>
    </row>
    <row r="12" spans="1:11" x14ac:dyDescent="0.3">
      <c r="A12" s="1" t="s">
        <v>40</v>
      </c>
    </row>
    <row r="13" spans="1:11" x14ac:dyDescent="0.3">
      <c r="A13" t="s">
        <v>41</v>
      </c>
      <c r="B13" t="s">
        <v>42</v>
      </c>
      <c r="C13" t="s">
        <v>20</v>
      </c>
      <c r="D13" t="s">
        <v>14</v>
      </c>
      <c r="E13" t="s">
        <v>15</v>
      </c>
      <c r="F13">
        <v>8</v>
      </c>
      <c r="G13" t="s">
        <v>23</v>
      </c>
      <c r="H13" t="s">
        <v>24</v>
      </c>
      <c r="I13">
        <v>1</v>
      </c>
      <c r="J13">
        <v>1</v>
      </c>
      <c r="K13">
        <v>1</v>
      </c>
    </row>
    <row r="14" spans="1:11" x14ac:dyDescent="0.3">
      <c r="A14" t="s">
        <v>43</v>
      </c>
      <c r="B14" t="s">
        <v>44</v>
      </c>
      <c r="C14" t="s">
        <v>27</v>
      </c>
      <c r="D14" t="s">
        <v>14</v>
      </c>
      <c r="E14" t="s">
        <v>15</v>
      </c>
      <c r="F14">
        <v>9</v>
      </c>
      <c r="G14" t="s">
        <v>23</v>
      </c>
      <c r="H14" t="s">
        <v>24</v>
      </c>
      <c r="I14">
        <v>1</v>
      </c>
      <c r="J14">
        <v>1</v>
      </c>
      <c r="K14">
        <v>2</v>
      </c>
    </row>
    <row r="15" spans="1:11" x14ac:dyDescent="0.3">
      <c r="A15" s="1" t="s">
        <v>45</v>
      </c>
    </row>
    <row r="16" spans="1:11" x14ac:dyDescent="0.3">
      <c r="A16" t="s">
        <v>46</v>
      </c>
      <c r="B16" t="s">
        <v>47</v>
      </c>
      <c r="C16" t="s">
        <v>48</v>
      </c>
      <c r="D16" t="s">
        <v>21</v>
      </c>
      <c r="E16" t="s">
        <v>22</v>
      </c>
      <c r="F16">
        <v>8</v>
      </c>
      <c r="G16" t="s">
        <v>23</v>
      </c>
    </row>
    <row r="17" spans="1:11" x14ac:dyDescent="0.3">
      <c r="A17" t="s">
        <v>49</v>
      </c>
      <c r="B17" t="s">
        <v>50</v>
      </c>
      <c r="C17" t="s">
        <v>51</v>
      </c>
      <c r="D17" t="s">
        <v>21</v>
      </c>
      <c r="E17" t="s">
        <v>22</v>
      </c>
      <c r="F17">
        <v>9</v>
      </c>
      <c r="G17" t="s">
        <v>23</v>
      </c>
    </row>
    <row r="18" spans="1:11" x14ac:dyDescent="0.3">
      <c r="A18" t="s">
        <v>52</v>
      </c>
      <c r="B18" t="s">
        <v>53</v>
      </c>
      <c r="C18" t="s">
        <v>54</v>
      </c>
      <c r="D18" t="s">
        <v>21</v>
      </c>
      <c r="E18" t="s">
        <v>15</v>
      </c>
      <c r="F18">
        <v>2</v>
      </c>
      <c r="G18" t="s">
        <v>23</v>
      </c>
      <c r="H18" t="s">
        <v>55</v>
      </c>
    </row>
    <row r="19" spans="1:11" x14ac:dyDescent="0.3">
      <c r="A19" s="1" t="s">
        <v>56</v>
      </c>
    </row>
    <row r="20" spans="1:11" x14ac:dyDescent="0.3">
      <c r="A20" t="s">
        <v>57</v>
      </c>
      <c r="B20" t="s">
        <v>50</v>
      </c>
      <c r="C20" t="s">
        <v>51</v>
      </c>
      <c r="D20" t="s">
        <v>21</v>
      </c>
      <c r="E20" t="s">
        <v>22</v>
      </c>
      <c r="F20">
        <v>10</v>
      </c>
      <c r="G20" t="s">
        <v>58</v>
      </c>
    </row>
    <row r="21" spans="1:11" x14ac:dyDescent="0.3">
      <c r="A21" t="s">
        <v>59</v>
      </c>
      <c r="B21" t="s">
        <v>60</v>
      </c>
      <c r="C21" t="s">
        <v>61</v>
      </c>
      <c r="D21" t="s">
        <v>21</v>
      </c>
      <c r="E21" t="s">
        <v>22</v>
      </c>
      <c r="F21">
        <v>9</v>
      </c>
      <c r="G21" t="s">
        <v>16</v>
      </c>
    </row>
    <row r="22" spans="1:11" x14ac:dyDescent="0.3">
      <c r="A22" t="s">
        <v>62</v>
      </c>
      <c r="B22" t="s">
        <v>63</v>
      </c>
      <c r="C22" t="s">
        <v>64</v>
      </c>
      <c r="D22" t="s">
        <v>14</v>
      </c>
      <c r="E22" t="s">
        <v>15</v>
      </c>
      <c r="F22">
        <v>9</v>
      </c>
      <c r="G22" t="s">
        <v>16</v>
      </c>
      <c r="H22" t="s">
        <v>65</v>
      </c>
      <c r="I22">
        <v>7</v>
      </c>
      <c r="J22" t="s">
        <v>66</v>
      </c>
      <c r="K22" t="s">
        <v>67</v>
      </c>
    </row>
    <row r="23" spans="1:11" x14ac:dyDescent="0.3">
      <c r="A23" t="s">
        <v>68</v>
      </c>
      <c r="B23" t="s">
        <v>69</v>
      </c>
      <c r="C23" t="s">
        <v>70</v>
      </c>
      <c r="D23" t="s">
        <v>21</v>
      </c>
      <c r="E23" t="s">
        <v>15</v>
      </c>
      <c r="F23">
        <v>9</v>
      </c>
      <c r="G23" t="s">
        <v>23</v>
      </c>
      <c r="H23" t="s">
        <v>65</v>
      </c>
      <c r="I23">
        <v>7</v>
      </c>
      <c r="J23" t="s">
        <v>66</v>
      </c>
      <c r="K23" t="s">
        <v>71</v>
      </c>
    </row>
    <row r="24" spans="1:11" x14ac:dyDescent="0.3">
      <c r="A24" s="1" t="s">
        <v>72</v>
      </c>
    </row>
    <row r="25" spans="1:11" x14ac:dyDescent="0.3">
      <c r="A25" t="s">
        <v>73</v>
      </c>
      <c r="B25" t="s">
        <v>74</v>
      </c>
      <c r="C25" t="s">
        <v>48</v>
      </c>
      <c r="D25" t="s">
        <v>21</v>
      </c>
      <c r="E25" t="s">
        <v>22</v>
      </c>
      <c r="F25">
        <v>8</v>
      </c>
      <c r="G25" t="s">
        <v>16</v>
      </c>
    </row>
    <row r="26" spans="1:11" x14ac:dyDescent="0.3">
      <c r="A26" s="1" t="s">
        <v>75</v>
      </c>
    </row>
    <row r="27" spans="1:11" x14ac:dyDescent="0.3">
      <c r="A27" t="s">
        <v>76</v>
      </c>
      <c r="B27" t="s">
        <v>77</v>
      </c>
      <c r="C27" t="s">
        <v>64</v>
      </c>
      <c r="D27" t="s">
        <v>21</v>
      </c>
      <c r="E27" t="s">
        <v>15</v>
      </c>
      <c r="F27">
        <v>1</v>
      </c>
      <c r="G27" t="s">
        <v>23</v>
      </c>
      <c r="H27" t="s">
        <v>55</v>
      </c>
    </row>
    <row r="28" spans="1:11" x14ac:dyDescent="0.3">
      <c r="A28" t="s">
        <v>78</v>
      </c>
      <c r="B28" t="s">
        <v>79</v>
      </c>
      <c r="C28" t="s">
        <v>70</v>
      </c>
      <c r="D28" t="s">
        <v>21</v>
      </c>
      <c r="E28" t="s">
        <v>22</v>
      </c>
      <c r="F28">
        <v>4</v>
      </c>
      <c r="G28" t="s">
        <v>23</v>
      </c>
      <c r="H28" t="s">
        <v>55</v>
      </c>
    </row>
    <row r="29" spans="1:11" x14ac:dyDescent="0.3">
      <c r="A29" t="s">
        <v>80</v>
      </c>
      <c r="B29" t="s">
        <v>81</v>
      </c>
      <c r="C29" t="s">
        <v>61</v>
      </c>
      <c r="D29" t="s">
        <v>21</v>
      </c>
      <c r="E29" t="s">
        <v>22</v>
      </c>
      <c r="F29">
        <v>3</v>
      </c>
      <c r="G29" t="s">
        <v>23</v>
      </c>
      <c r="H29" t="s">
        <v>55</v>
      </c>
    </row>
    <row r="30" spans="1:11" x14ac:dyDescent="0.3">
      <c r="A30" t="s">
        <v>82</v>
      </c>
      <c r="B30" t="s">
        <v>83</v>
      </c>
      <c r="C30" t="s">
        <v>70</v>
      </c>
      <c r="D30" t="s">
        <v>21</v>
      </c>
      <c r="E30" t="s">
        <v>22</v>
      </c>
      <c r="F30">
        <v>2</v>
      </c>
      <c r="G30" t="s">
        <v>23</v>
      </c>
      <c r="H30" t="s">
        <v>55</v>
      </c>
    </row>
    <row r="31" spans="1:11" x14ac:dyDescent="0.3">
      <c r="A31" t="s">
        <v>84</v>
      </c>
      <c r="B31" t="s">
        <v>85</v>
      </c>
      <c r="C31" t="s">
        <v>70</v>
      </c>
      <c r="D31" t="s">
        <v>21</v>
      </c>
      <c r="E31" t="s">
        <v>22</v>
      </c>
      <c r="F31">
        <v>1</v>
      </c>
      <c r="G31" t="s">
        <v>23</v>
      </c>
      <c r="H31" t="s">
        <v>55</v>
      </c>
    </row>
    <row r="32" spans="1:11" x14ac:dyDescent="0.3">
      <c r="A32" t="s">
        <v>86</v>
      </c>
      <c r="B32" t="s">
        <v>87</v>
      </c>
      <c r="C32" t="s">
        <v>70</v>
      </c>
      <c r="D32" t="s">
        <v>14</v>
      </c>
      <c r="E32" t="s">
        <v>22</v>
      </c>
      <c r="F32">
        <v>3</v>
      </c>
      <c r="G32" t="s">
        <v>23</v>
      </c>
      <c r="H32" t="s">
        <v>55</v>
      </c>
    </row>
    <row r="33" spans="1:11" x14ac:dyDescent="0.3">
      <c r="A33" t="s">
        <v>88</v>
      </c>
      <c r="B33" t="s">
        <v>89</v>
      </c>
      <c r="C33" t="s">
        <v>70</v>
      </c>
      <c r="D33" t="s">
        <v>14</v>
      </c>
      <c r="E33" t="s">
        <v>22</v>
      </c>
      <c r="F33">
        <v>3</v>
      </c>
      <c r="G33" t="s">
        <v>16</v>
      </c>
      <c r="H33" t="s">
        <v>55</v>
      </c>
    </row>
    <row r="34" spans="1:11" x14ac:dyDescent="0.3">
      <c r="A34" t="s">
        <v>90</v>
      </c>
      <c r="B34" t="s">
        <v>50</v>
      </c>
      <c r="C34" t="s">
        <v>51</v>
      </c>
      <c r="D34" t="s">
        <v>14</v>
      </c>
      <c r="E34" t="s">
        <v>22</v>
      </c>
      <c r="F34">
        <v>10</v>
      </c>
      <c r="G34" t="s">
        <v>58</v>
      </c>
    </row>
    <row r="35" spans="1:11" x14ac:dyDescent="0.3">
      <c r="A35" t="s">
        <v>74</v>
      </c>
      <c r="B35" t="s">
        <v>91</v>
      </c>
    </row>
    <row r="36" spans="1:11" x14ac:dyDescent="0.3">
      <c r="A36" t="s">
        <v>92</v>
      </c>
      <c r="C36" t="s">
        <v>13</v>
      </c>
    </row>
    <row r="37" spans="1:11" x14ac:dyDescent="0.3">
      <c r="A37" t="s">
        <v>93</v>
      </c>
      <c r="C37" t="s">
        <v>48</v>
      </c>
    </row>
    <row r="38" spans="1:11" x14ac:dyDescent="0.3">
      <c r="A38" t="s">
        <v>94</v>
      </c>
      <c r="C38" t="s">
        <v>51</v>
      </c>
    </row>
    <row r="39" spans="1:11" x14ac:dyDescent="0.3">
      <c r="A39" t="s">
        <v>95</v>
      </c>
      <c r="C39" t="s">
        <v>61</v>
      </c>
    </row>
    <row r="40" spans="1:11" x14ac:dyDescent="0.3">
      <c r="A40" t="s">
        <v>96</v>
      </c>
      <c r="C40" t="s">
        <v>64</v>
      </c>
    </row>
    <row r="41" spans="1:11" x14ac:dyDescent="0.3">
      <c r="A41" t="s">
        <v>97</v>
      </c>
      <c r="C41" t="s">
        <v>61</v>
      </c>
    </row>
    <row r="42" spans="1:11" x14ac:dyDescent="0.3">
      <c r="A42" t="s">
        <v>98</v>
      </c>
      <c r="C42" t="s">
        <v>70</v>
      </c>
    </row>
    <row r="43" spans="1:11" x14ac:dyDescent="0.3">
      <c r="A43" s="1" t="s">
        <v>99</v>
      </c>
    </row>
    <row r="44" spans="1:11" x14ac:dyDescent="0.3">
      <c r="A44" t="s">
        <v>100</v>
      </c>
      <c r="B44" t="s">
        <v>91</v>
      </c>
      <c r="C44" t="s">
        <v>48</v>
      </c>
    </row>
    <row r="45" spans="1:11" x14ac:dyDescent="0.3">
      <c r="A45" t="s">
        <v>101</v>
      </c>
      <c r="B45" t="s">
        <v>50</v>
      </c>
      <c r="C45" t="s">
        <v>51</v>
      </c>
      <c r="D45" t="s">
        <v>14</v>
      </c>
      <c r="E45" t="s">
        <v>15</v>
      </c>
      <c r="F45">
        <v>5</v>
      </c>
      <c r="G45" t="s">
        <v>16</v>
      </c>
    </row>
    <row r="46" spans="1:11" x14ac:dyDescent="0.3">
      <c r="A46" t="s">
        <v>102</v>
      </c>
      <c r="B46" t="s">
        <v>129</v>
      </c>
      <c r="C46" t="s">
        <v>27</v>
      </c>
      <c r="D46" t="s">
        <v>14</v>
      </c>
      <c r="E46" t="s">
        <v>22</v>
      </c>
      <c r="F46">
        <v>9</v>
      </c>
      <c r="G46" t="s">
        <v>16</v>
      </c>
      <c r="H46" t="s">
        <v>65</v>
      </c>
      <c r="I46">
        <v>4</v>
      </c>
      <c r="J46" t="s">
        <v>170</v>
      </c>
      <c r="K46" t="s">
        <v>171</v>
      </c>
    </row>
    <row r="47" spans="1:11" x14ac:dyDescent="0.3">
      <c r="A47" t="s">
        <v>103</v>
      </c>
      <c r="B47" t="s">
        <v>130</v>
      </c>
      <c r="C47" t="s">
        <v>20</v>
      </c>
      <c r="D47" t="s">
        <v>14</v>
      </c>
      <c r="E47" t="s">
        <v>15</v>
      </c>
      <c r="F47">
        <v>7</v>
      </c>
      <c r="G47" t="s">
        <v>23</v>
      </c>
      <c r="H47" t="s">
        <v>65</v>
      </c>
      <c r="I47">
        <v>4</v>
      </c>
      <c r="J47" t="s">
        <v>170</v>
      </c>
      <c r="K47" t="s">
        <v>172</v>
      </c>
    </row>
    <row r="48" spans="1:11" x14ac:dyDescent="0.3">
      <c r="A48" t="s">
        <v>104</v>
      </c>
      <c r="C48" t="s">
        <v>13</v>
      </c>
    </row>
    <row r="49" spans="1:8" x14ac:dyDescent="0.3">
      <c r="A49" s="1" t="s">
        <v>175</v>
      </c>
    </row>
    <row r="50" spans="1:8" x14ac:dyDescent="0.3">
      <c r="A50" t="s">
        <v>176</v>
      </c>
      <c r="B50" t="s">
        <v>128</v>
      </c>
      <c r="C50" t="s">
        <v>64</v>
      </c>
      <c r="D50" t="s">
        <v>14</v>
      </c>
      <c r="E50" t="s">
        <v>22</v>
      </c>
      <c r="F50">
        <v>8</v>
      </c>
      <c r="G50" t="s">
        <v>16</v>
      </c>
      <c r="H50" t="s">
        <v>178</v>
      </c>
    </row>
    <row r="51" spans="1:8" x14ac:dyDescent="0.3">
      <c r="A51" t="s">
        <v>177</v>
      </c>
      <c r="B51" t="s">
        <v>127</v>
      </c>
      <c r="C51" t="s">
        <v>64</v>
      </c>
      <c r="D51" t="s">
        <v>14</v>
      </c>
      <c r="E51" t="s">
        <v>22</v>
      </c>
      <c r="F51">
        <v>5</v>
      </c>
      <c r="G51" t="s">
        <v>23</v>
      </c>
      <c r="H51" t="s">
        <v>178</v>
      </c>
    </row>
    <row r="52" spans="1:8" x14ac:dyDescent="0.3">
      <c r="A52" t="s">
        <v>179</v>
      </c>
      <c r="B52" t="s">
        <v>50</v>
      </c>
      <c r="C52" t="s">
        <v>51</v>
      </c>
      <c r="D52" t="s">
        <v>21</v>
      </c>
      <c r="E52" t="s">
        <v>15</v>
      </c>
      <c r="F52">
        <v>10</v>
      </c>
      <c r="G52" t="s">
        <v>58</v>
      </c>
    </row>
    <row r="53" spans="1:8" x14ac:dyDescent="0.3">
      <c r="A53" t="s">
        <v>180</v>
      </c>
      <c r="B53" t="s">
        <v>50</v>
      </c>
      <c r="C53" t="s">
        <v>51</v>
      </c>
      <c r="D53" t="s">
        <v>21</v>
      </c>
      <c r="E53" t="s">
        <v>22</v>
      </c>
      <c r="F53">
        <v>4</v>
      </c>
      <c r="G5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D411-9308-40FB-AE85-F13756232A14}">
  <dimension ref="A1:F49"/>
  <sheetViews>
    <sheetView zoomScale="80" zoomScaleNormal="80" workbookViewId="0">
      <selection activeCell="H40" sqref="H40"/>
    </sheetView>
  </sheetViews>
  <sheetFormatPr defaultRowHeight="14.4" x14ac:dyDescent="0.3"/>
  <cols>
    <col min="1" max="1" width="14.77734375" customWidth="1"/>
    <col min="2" max="2" width="13.6640625" customWidth="1"/>
    <col min="3" max="3" width="12.21875" customWidth="1"/>
  </cols>
  <sheetData>
    <row r="1" spans="1:6" x14ac:dyDescent="0.3">
      <c r="A1" s="23" t="s">
        <v>0</v>
      </c>
      <c r="B1" s="24" t="s">
        <v>1</v>
      </c>
      <c r="C1" s="24" t="s">
        <v>7</v>
      </c>
      <c r="D1" s="24" t="s">
        <v>8</v>
      </c>
      <c r="E1" s="24" t="s">
        <v>9</v>
      </c>
      <c r="F1" s="24" t="s">
        <v>10</v>
      </c>
    </row>
    <row r="2" spans="1:6" x14ac:dyDescent="0.3">
      <c r="A2" s="2" t="s">
        <v>11</v>
      </c>
      <c r="B2" s="25" t="s">
        <v>12</v>
      </c>
      <c r="C2" s="25" t="s">
        <v>17</v>
      </c>
      <c r="D2" s="25">
        <v>14</v>
      </c>
      <c r="E2" s="25">
        <v>16</v>
      </c>
      <c r="F2" s="25">
        <v>1</v>
      </c>
    </row>
    <row r="3" spans="1:6" x14ac:dyDescent="0.3">
      <c r="A3" s="2" t="s">
        <v>18</v>
      </c>
      <c r="B3" s="25" t="s">
        <v>19</v>
      </c>
      <c r="C3" s="25" t="s">
        <v>24</v>
      </c>
      <c r="D3" s="25"/>
      <c r="E3" s="25"/>
      <c r="F3" s="25"/>
    </row>
    <row r="4" spans="1:6" x14ac:dyDescent="0.3">
      <c r="A4" s="2" t="s">
        <v>25</v>
      </c>
      <c r="B4" s="25" t="s">
        <v>26</v>
      </c>
      <c r="C4" s="25" t="s">
        <v>24</v>
      </c>
      <c r="D4" s="25"/>
      <c r="E4" s="25"/>
      <c r="F4" s="25"/>
    </row>
    <row r="5" spans="1:6" x14ac:dyDescent="0.3">
      <c r="A5" s="23" t="s">
        <v>28</v>
      </c>
      <c r="B5" s="25"/>
      <c r="C5" s="25"/>
      <c r="D5" s="25"/>
      <c r="E5" s="25"/>
      <c r="F5" s="25"/>
    </row>
    <row r="6" spans="1:6" x14ac:dyDescent="0.3">
      <c r="A6" s="2" t="s">
        <v>29</v>
      </c>
      <c r="B6" s="25" t="s">
        <v>30</v>
      </c>
      <c r="C6" s="25" t="s">
        <v>24</v>
      </c>
      <c r="D6" s="25">
        <v>2</v>
      </c>
      <c r="E6" s="25">
        <v>3</v>
      </c>
      <c r="F6" s="25">
        <v>1</v>
      </c>
    </row>
    <row r="7" spans="1:6" x14ac:dyDescent="0.3">
      <c r="A7" s="2" t="s">
        <v>31</v>
      </c>
      <c r="B7" s="25" t="s">
        <v>32</v>
      </c>
      <c r="C7" s="25" t="s">
        <v>24</v>
      </c>
      <c r="D7" s="25">
        <v>2</v>
      </c>
      <c r="E7" s="25">
        <v>3</v>
      </c>
      <c r="F7" s="25">
        <v>2</v>
      </c>
    </row>
    <row r="8" spans="1:6" x14ac:dyDescent="0.3">
      <c r="A8" s="23" t="s">
        <v>33</v>
      </c>
      <c r="B8" s="25"/>
      <c r="C8" s="25"/>
      <c r="D8" s="25"/>
      <c r="E8" s="25"/>
      <c r="F8" s="25"/>
    </row>
    <row r="9" spans="1:6" x14ac:dyDescent="0.3">
      <c r="A9" s="2" t="s">
        <v>34</v>
      </c>
      <c r="B9" s="25" t="s">
        <v>35</v>
      </c>
      <c r="C9" s="25" t="s">
        <v>17</v>
      </c>
      <c r="D9" s="25">
        <v>14</v>
      </c>
      <c r="E9" s="25">
        <v>17</v>
      </c>
      <c r="F9" s="25">
        <v>1</v>
      </c>
    </row>
    <row r="10" spans="1:6" x14ac:dyDescent="0.3">
      <c r="A10" s="2" t="s">
        <v>36</v>
      </c>
      <c r="B10" s="25" t="s">
        <v>37</v>
      </c>
      <c r="C10" s="25" t="s">
        <v>24</v>
      </c>
      <c r="D10" s="25"/>
      <c r="E10" s="25"/>
      <c r="F10" s="25"/>
    </row>
    <row r="11" spans="1:6" x14ac:dyDescent="0.3">
      <c r="A11" s="2" t="s">
        <v>38</v>
      </c>
      <c r="B11" s="25" t="s">
        <v>39</v>
      </c>
      <c r="C11" s="25" t="s">
        <v>24</v>
      </c>
      <c r="D11" s="25"/>
      <c r="E11" s="25"/>
      <c r="F11" s="25"/>
    </row>
    <row r="12" spans="1:6" x14ac:dyDescent="0.3">
      <c r="A12" s="23" t="s">
        <v>40</v>
      </c>
      <c r="B12" s="25"/>
      <c r="C12" s="25"/>
      <c r="D12" s="25"/>
      <c r="E12" s="25"/>
      <c r="F12" s="25"/>
    </row>
    <row r="13" spans="1:6" x14ac:dyDescent="0.3">
      <c r="A13" s="2" t="s">
        <v>41</v>
      </c>
      <c r="B13" s="25" t="s">
        <v>42</v>
      </c>
      <c r="C13" s="25" t="s">
        <v>24</v>
      </c>
      <c r="D13" s="25">
        <v>1</v>
      </c>
      <c r="E13" s="25">
        <v>1</v>
      </c>
      <c r="F13" s="25">
        <v>1</v>
      </c>
    </row>
    <row r="14" spans="1:6" x14ac:dyDescent="0.3">
      <c r="A14" s="2" t="s">
        <v>43</v>
      </c>
      <c r="B14" s="25" t="s">
        <v>44</v>
      </c>
      <c r="C14" s="25" t="s">
        <v>24</v>
      </c>
      <c r="D14" s="25">
        <v>1</v>
      </c>
      <c r="E14" s="25">
        <v>1</v>
      </c>
      <c r="F14" s="25">
        <v>2</v>
      </c>
    </row>
    <row r="15" spans="1:6" x14ac:dyDescent="0.3">
      <c r="A15" s="23" t="s">
        <v>45</v>
      </c>
      <c r="B15" s="25"/>
      <c r="C15" s="25"/>
      <c r="D15" s="25"/>
      <c r="E15" s="25"/>
      <c r="F15" s="25"/>
    </row>
    <row r="16" spans="1:6" x14ac:dyDescent="0.3">
      <c r="A16" s="2" t="s">
        <v>46</v>
      </c>
      <c r="B16" s="25" t="s">
        <v>47</v>
      </c>
      <c r="C16" s="25"/>
      <c r="D16" s="25"/>
      <c r="E16" s="25"/>
      <c r="F16" s="25"/>
    </row>
    <row r="17" spans="1:6" x14ac:dyDescent="0.3">
      <c r="A17" s="2" t="s">
        <v>49</v>
      </c>
      <c r="B17" s="25" t="s">
        <v>50</v>
      </c>
      <c r="C17" s="25"/>
      <c r="D17" s="25"/>
      <c r="E17" s="25"/>
      <c r="F17" s="25"/>
    </row>
    <row r="18" spans="1:6" x14ac:dyDescent="0.3">
      <c r="A18" s="2" t="s">
        <v>52</v>
      </c>
      <c r="B18" s="25" t="s">
        <v>53</v>
      </c>
      <c r="C18" s="25" t="s">
        <v>55</v>
      </c>
      <c r="D18" s="25"/>
      <c r="E18" s="25"/>
      <c r="F18" s="25"/>
    </row>
    <row r="19" spans="1:6" x14ac:dyDescent="0.3">
      <c r="A19" s="23" t="s">
        <v>56</v>
      </c>
      <c r="B19" s="25"/>
      <c r="C19" s="25"/>
      <c r="D19" s="25"/>
      <c r="E19" s="25"/>
      <c r="F19" s="25"/>
    </row>
    <row r="20" spans="1:6" x14ac:dyDescent="0.3">
      <c r="A20" s="2" t="s">
        <v>57</v>
      </c>
      <c r="B20" s="25" t="s">
        <v>50</v>
      </c>
      <c r="C20" s="25"/>
      <c r="D20" s="25"/>
      <c r="E20" s="25"/>
      <c r="F20" s="25"/>
    </row>
    <row r="21" spans="1:6" x14ac:dyDescent="0.3">
      <c r="A21" s="2" t="s">
        <v>59</v>
      </c>
      <c r="B21" s="25" t="s">
        <v>60</v>
      </c>
      <c r="C21" s="25"/>
      <c r="D21" s="25"/>
      <c r="E21" s="25"/>
      <c r="F21" s="25"/>
    </row>
    <row r="22" spans="1:6" x14ac:dyDescent="0.3">
      <c r="A22" s="2" t="s">
        <v>62</v>
      </c>
      <c r="B22" s="25" t="s">
        <v>63</v>
      </c>
      <c r="C22" s="25" t="s">
        <v>65</v>
      </c>
      <c r="D22" s="25">
        <v>7</v>
      </c>
      <c r="E22" s="25" t="s">
        <v>66</v>
      </c>
      <c r="F22" s="25" t="s">
        <v>67</v>
      </c>
    </row>
    <row r="23" spans="1:6" x14ac:dyDescent="0.3">
      <c r="A23" s="2" t="s">
        <v>68</v>
      </c>
      <c r="B23" s="25" t="s">
        <v>69</v>
      </c>
      <c r="C23" s="25" t="s">
        <v>65</v>
      </c>
      <c r="D23" s="25">
        <v>7</v>
      </c>
      <c r="E23" s="25" t="s">
        <v>66</v>
      </c>
      <c r="F23" s="25" t="s">
        <v>71</v>
      </c>
    </row>
    <row r="24" spans="1:6" x14ac:dyDescent="0.3">
      <c r="A24" s="23" t="s">
        <v>72</v>
      </c>
      <c r="B24" s="25"/>
      <c r="C24" s="25"/>
      <c r="D24" s="25"/>
      <c r="E24" s="25"/>
      <c r="F24" s="25"/>
    </row>
    <row r="25" spans="1:6" x14ac:dyDescent="0.3">
      <c r="A25" s="2" t="s">
        <v>73</v>
      </c>
      <c r="B25" s="25" t="s">
        <v>74</v>
      </c>
      <c r="C25" s="25"/>
      <c r="D25" s="25"/>
      <c r="E25" s="25"/>
      <c r="F25" s="25"/>
    </row>
    <row r="26" spans="1:6" x14ac:dyDescent="0.3">
      <c r="A26" s="23" t="s">
        <v>75</v>
      </c>
      <c r="B26" s="25"/>
      <c r="C26" s="25"/>
      <c r="D26" s="25"/>
      <c r="E26" s="25"/>
      <c r="F26" s="25"/>
    </row>
    <row r="27" spans="1:6" x14ac:dyDescent="0.3">
      <c r="A27" s="2" t="s">
        <v>76</v>
      </c>
      <c r="B27" s="25" t="s">
        <v>77</v>
      </c>
      <c r="C27" s="25" t="s">
        <v>55</v>
      </c>
      <c r="D27" s="25"/>
      <c r="E27" s="25"/>
      <c r="F27" s="25"/>
    </row>
    <row r="28" spans="1:6" x14ac:dyDescent="0.3">
      <c r="A28" s="2" t="s">
        <v>78</v>
      </c>
      <c r="B28" s="25" t="s">
        <v>79</v>
      </c>
      <c r="C28" s="25" t="s">
        <v>55</v>
      </c>
      <c r="D28" s="25"/>
      <c r="E28" s="25"/>
      <c r="F28" s="25"/>
    </row>
    <row r="29" spans="1:6" x14ac:dyDescent="0.3">
      <c r="A29" s="2" t="s">
        <v>80</v>
      </c>
      <c r="B29" s="25" t="s">
        <v>81</v>
      </c>
      <c r="C29" s="25" t="s">
        <v>55</v>
      </c>
      <c r="D29" s="25"/>
      <c r="E29" s="25"/>
      <c r="F29" s="25"/>
    </row>
    <row r="30" spans="1:6" x14ac:dyDescent="0.3">
      <c r="A30" s="2" t="s">
        <v>82</v>
      </c>
      <c r="B30" s="25" t="s">
        <v>83</v>
      </c>
      <c r="C30" s="25" t="s">
        <v>55</v>
      </c>
      <c r="D30" s="25"/>
      <c r="E30" s="25"/>
      <c r="F30" s="25"/>
    </row>
    <row r="31" spans="1:6" x14ac:dyDescent="0.3">
      <c r="A31" s="2" t="s">
        <v>84</v>
      </c>
      <c r="B31" s="25" t="s">
        <v>85</v>
      </c>
      <c r="C31" s="25" t="s">
        <v>55</v>
      </c>
      <c r="D31" s="25"/>
      <c r="E31" s="25"/>
      <c r="F31" s="25"/>
    </row>
    <row r="32" spans="1:6" x14ac:dyDescent="0.3">
      <c r="A32" s="2" t="s">
        <v>86</v>
      </c>
      <c r="B32" s="25" t="s">
        <v>87</v>
      </c>
      <c r="C32" s="25" t="s">
        <v>55</v>
      </c>
      <c r="D32" s="25"/>
      <c r="E32" s="25"/>
      <c r="F32" s="25"/>
    </row>
    <row r="33" spans="1:6" x14ac:dyDescent="0.3">
      <c r="A33" s="2" t="s">
        <v>88</v>
      </c>
      <c r="B33" s="25" t="s">
        <v>89</v>
      </c>
      <c r="C33" s="25" t="s">
        <v>55</v>
      </c>
      <c r="D33" s="25"/>
      <c r="E33" s="25"/>
      <c r="F33" s="25"/>
    </row>
    <row r="34" spans="1:6" x14ac:dyDescent="0.3">
      <c r="A34" s="2" t="s">
        <v>90</v>
      </c>
      <c r="B34" s="25" t="s">
        <v>50</v>
      </c>
      <c r="C34" s="25"/>
      <c r="D34" s="25"/>
      <c r="E34" s="25"/>
      <c r="F34" s="25"/>
    </row>
    <row r="35" spans="1:6" x14ac:dyDescent="0.3">
      <c r="A35" s="2" t="s">
        <v>74</v>
      </c>
      <c r="B35" s="25" t="s">
        <v>91</v>
      </c>
      <c r="C35" s="25"/>
      <c r="D35" s="25"/>
      <c r="E35" s="25"/>
      <c r="F35" s="25"/>
    </row>
    <row r="36" spans="1:6" x14ac:dyDescent="0.3">
      <c r="A36" s="23" t="s">
        <v>99</v>
      </c>
      <c r="B36" s="25"/>
      <c r="C36" s="25"/>
      <c r="D36" s="25"/>
      <c r="E36" s="25"/>
      <c r="F36" s="25"/>
    </row>
    <row r="37" spans="1:6" x14ac:dyDescent="0.3">
      <c r="A37" s="2" t="s">
        <v>100</v>
      </c>
      <c r="B37" s="25" t="s">
        <v>91</v>
      </c>
      <c r="C37" s="25"/>
      <c r="D37" s="25"/>
      <c r="E37" s="25"/>
      <c r="F37" s="25"/>
    </row>
    <row r="38" spans="1:6" x14ac:dyDescent="0.3">
      <c r="A38" s="2" t="s">
        <v>101</v>
      </c>
      <c r="B38" s="25" t="s">
        <v>50</v>
      </c>
      <c r="C38" s="25"/>
      <c r="D38" s="25"/>
      <c r="E38" s="25"/>
      <c r="F38" s="25"/>
    </row>
    <row r="39" spans="1:6" x14ac:dyDescent="0.3">
      <c r="A39" s="2" t="s">
        <v>102</v>
      </c>
      <c r="B39" s="25" t="s">
        <v>129</v>
      </c>
      <c r="C39" s="25" t="s">
        <v>65</v>
      </c>
      <c r="D39" s="25">
        <v>4</v>
      </c>
      <c r="E39" s="25" t="s">
        <v>170</v>
      </c>
      <c r="F39" s="25" t="s">
        <v>171</v>
      </c>
    </row>
    <row r="40" spans="1:6" x14ac:dyDescent="0.3">
      <c r="A40" s="2" t="s">
        <v>103</v>
      </c>
      <c r="B40" s="25" t="s">
        <v>130</v>
      </c>
      <c r="C40" s="25" t="s">
        <v>65</v>
      </c>
      <c r="D40" s="25">
        <v>4</v>
      </c>
      <c r="E40" s="25" t="s">
        <v>170</v>
      </c>
      <c r="F40" s="25" t="s">
        <v>172</v>
      </c>
    </row>
    <row r="41" spans="1:6" x14ac:dyDescent="0.3">
      <c r="A41" s="23" t="s">
        <v>175</v>
      </c>
      <c r="B41" s="25"/>
      <c r="C41" s="25"/>
      <c r="D41" s="25"/>
      <c r="E41" s="25"/>
      <c r="F41" s="25"/>
    </row>
    <row r="42" spans="1:6" x14ac:dyDescent="0.3">
      <c r="A42" s="2" t="s">
        <v>176</v>
      </c>
      <c r="B42" s="25" t="s">
        <v>128</v>
      </c>
      <c r="C42" s="25" t="s">
        <v>178</v>
      </c>
      <c r="D42" s="25"/>
      <c r="E42" s="25"/>
      <c r="F42" s="25"/>
    </row>
    <row r="43" spans="1:6" x14ac:dyDescent="0.3">
      <c r="A43" s="2" t="s">
        <v>177</v>
      </c>
      <c r="B43" s="25" t="s">
        <v>127</v>
      </c>
      <c r="C43" s="25" t="s">
        <v>178</v>
      </c>
      <c r="D43" s="25"/>
      <c r="E43" s="25"/>
      <c r="F43" s="25"/>
    </row>
    <row r="44" spans="1:6" x14ac:dyDescent="0.3">
      <c r="A44" s="2" t="s">
        <v>179</v>
      </c>
      <c r="B44" s="25" t="s">
        <v>50</v>
      </c>
      <c r="C44" s="25"/>
      <c r="D44" s="25"/>
      <c r="E44" s="25"/>
      <c r="F44" s="25"/>
    </row>
    <row r="45" spans="1:6" x14ac:dyDescent="0.3">
      <c r="A45" s="2" t="s">
        <v>180</v>
      </c>
      <c r="B45" s="25" t="s">
        <v>50</v>
      </c>
      <c r="C45" s="25"/>
      <c r="D45" s="25"/>
      <c r="E45" s="25"/>
      <c r="F45" s="25"/>
    </row>
    <row r="49" spans="1:1" x14ac:dyDescent="0.3">
      <c r="A49" s="1"/>
    </row>
  </sheetData>
  <pageMargins left="0.7" right="0.7" top="0.75" bottom="0.75" header="0.3" footer="0.3"/>
  <pageSetup paperSize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A038-6393-4D32-B54D-4DAFCD961382}">
  <dimension ref="A1:S20"/>
  <sheetViews>
    <sheetView zoomScale="120" zoomScaleNormal="120" workbookViewId="0">
      <selection activeCell="F20" sqref="F20"/>
    </sheetView>
  </sheetViews>
  <sheetFormatPr defaultRowHeight="14.4" x14ac:dyDescent="0.3"/>
  <cols>
    <col min="1" max="1" width="24.44140625" customWidth="1"/>
    <col min="2" max="2" width="19" customWidth="1"/>
    <col min="3" max="3" width="10.109375" customWidth="1"/>
    <col min="4" max="4" width="9.6640625" customWidth="1"/>
    <col min="5" max="5" width="15.5546875" customWidth="1"/>
    <col min="6" max="6" width="16.5546875" customWidth="1"/>
    <col min="9" max="9" width="21" customWidth="1"/>
    <col min="15" max="15" width="17.5546875" customWidth="1"/>
    <col min="16" max="16" width="13.44140625" customWidth="1"/>
    <col min="17" max="17" width="11.5546875" customWidth="1"/>
    <col min="18" max="18" width="12.6640625" customWidth="1"/>
    <col min="19" max="19" width="14.44140625" customWidth="1"/>
  </cols>
  <sheetData>
    <row r="1" spans="1:19" x14ac:dyDescent="0.3">
      <c r="A1" t="s">
        <v>105</v>
      </c>
      <c r="B1" t="s">
        <v>106</v>
      </c>
      <c r="E1" t="s">
        <v>107</v>
      </c>
      <c r="F1" t="s">
        <v>108</v>
      </c>
      <c r="I1" t="str" cm="1">
        <f t="array" ref="I1:S17">_xlfn.LET(_xlpm.hdr,'Connection Guide'!A1:K1,_xlpm.data,'Connection Guide'!A2:K1000,_xlpm.pins,19,_xlpm.rows,_xlfn._xlws.FILTER(_xlpm.data,INDEX(_xlpm.data,,4)="CN7"),_xlpm.side,INDEX(_xlpm.rows,,5),_xlpm.dist,INDEX(_xlpm.rows,,6),_xlpm.ref,INDEX(_xlpm.rows,,7),_xlpm.pos,IF(_xlpm.ref="Top",_xlpm.dist,IF(_xlpm.ref="Bottom",_xlpm.pins+1-_xlpm.dist,_xlpm.dist)),_xlpm.lr,(_xlpm.side="R")+0,_xlpm.result,_xlfn.SORTBY(_xlpm.rows,_xlpm.lr,1,_xlpm.pos,1),_xlfn.VSTACK(_xlpm.hdr,_xlpm.result))</f>
        <v>Right Motor:</v>
      </c>
      <c r="J1" t="str">
        <v>Pin</v>
      </c>
      <c r="K1" t="str">
        <v>Wire color</v>
      </c>
      <c r="L1" t="str">
        <v>CN</v>
      </c>
      <c r="M1" t="str">
        <v>L/R on CN</v>
      </c>
      <c r="N1" t="str">
        <v># of pins</v>
      </c>
      <c r="O1" t="str">
        <v>from top/bottom</v>
      </c>
      <c r="P1" t="str">
        <v>Pin Mode</v>
      </c>
      <c r="Q1" t="str">
        <v>AF</v>
      </c>
      <c r="R1" t="str">
        <v>Timer</v>
      </c>
      <c r="S1" t="str">
        <v>Channel</v>
      </c>
    </row>
    <row r="2" spans="1:19" x14ac:dyDescent="0.3">
      <c r="A2">
        <v>1</v>
      </c>
      <c r="C2" s="2" t="str" cm="1">
        <f t="array" ref="C2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2" s="2" t="str" cm="1">
        <f t="array" ref="D2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E2">
        <v>1</v>
      </c>
      <c r="I2" t="str">
        <v>GND_BMP_R</v>
      </c>
      <c r="J2" t="str">
        <v>GND</v>
      </c>
      <c r="K2" t="str">
        <v>Black</v>
      </c>
      <c r="L2" t="str">
        <v>CN7</v>
      </c>
      <c r="M2" t="str">
        <v>L</v>
      </c>
      <c r="N2">
        <v>10</v>
      </c>
      <c r="O2" t="str">
        <v>either</v>
      </c>
      <c r="P2">
        <v>0</v>
      </c>
      <c r="Q2">
        <v>0</v>
      </c>
      <c r="R2">
        <v>0</v>
      </c>
      <c r="S2">
        <v>0</v>
      </c>
    </row>
    <row r="3" spans="1:19" x14ac:dyDescent="0.3">
      <c r="A3">
        <v>2</v>
      </c>
      <c r="C3" s="2" t="str" cm="1">
        <f t="array" ref="C3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3" s="2" t="str" cm="1">
        <f t="array" ref="D3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E3">
        <v>2</v>
      </c>
      <c r="I3" t="str">
        <v>bt_TXD</v>
      </c>
      <c r="J3" t="str">
        <v>B7</v>
      </c>
      <c r="K3" t="str">
        <v>White</v>
      </c>
      <c r="L3" t="str">
        <v>CN7</v>
      </c>
      <c r="M3" t="str">
        <v>L</v>
      </c>
      <c r="N3">
        <v>9</v>
      </c>
      <c r="O3" t="str">
        <v>bottom</v>
      </c>
      <c r="P3" t="str">
        <v>ALT</v>
      </c>
      <c r="Q3">
        <v>7</v>
      </c>
      <c r="R3" t="str">
        <v>USART1</v>
      </c>
      <c r="S3" t="str">
        <v>RX</v>
      </c>
    </row>
    <row r="4" spans="1:19" x14ac:dyDescent="0.3">
      <c r="A4">
        <v>3</v>
      </c>
      <c r="C4" s="2" t="str" cm="1">
        <f t="array" ref="C4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4" s="2" t="str" cm="1">
        <f t="array" ref="D4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E4">
        <v>3</v>
      </c>
      <c r="I4" t="str">
        <v>nucleo_Battery read</v>
      </c>
      <c r="J4" t="str">
        <v>C2</v>
      </c>
      <c r="K4" t="str">
        <v>Light Blue</v>
      </c>
      <c r="L4" t="str">
        <v>CN7</v>
      </c>
      <c r="M4" t="str">
        <v>L</v>
      </c>
      <c r="N4">
        <v>2</v>
      </c>
      <c r="O4" t="str">
        <v>bottom</v>
      </c>
      <c r="P4" t="str">
        <v>ANALOG</v>
      </c>
      <c r="Q4">
        <v>0</v>
      </c>
      <c r="R4">
        <v>0</v>
      </c>
      <c r="S4">
        <v>0</v>
      </c>
    </row>
    <row r="5" spans="1:19" x14ac:dyDescent="0.3">
      <c r="A5">
        <v>4</v>
      </c>
      <c r="C5" s="2" t="str" cm="1">
        <f t="array" ref="C5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5" s="7" t="str" cm="1">
        <f t="array" ref="D5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GND</v>
      </c>
      <c r="E5">
        <v>4</v>
      </c>
      <c r="I5" t="str">
        <v>IR_CH1</v>
      </c>
      <c r="J5" t="str">
        <v>C3</v>
      </c>
      <c r="K5" t="str">
        <v>Orange</v>
      </c>
      <c r="L5" t="str">
        <v>CN7</v>
      </c>
      <c r="M5" t="str">
        <v>L</v>
      </c>
      <c r="N5">
        <v>1</v>
      </c>
      <c r="O5" t="str">
        <v>bottom</v>
      </c>
      <c r="P5" t="str">
        <v>ANALOG</v>
      </c>
      <c r="Q5">
        <v>0</v>
      </c>
      <c r="R5">
        <v>0</v>
      </c>
      <c r="S5">
        <v>0</v>
      </c>
    </row>
    <row r="6" spans="1:19" x14ac:dyDescent="0.3">
      <c r="A6">
        <v>5</v>
      </c>
      <c r="C6" s="2" t="str" cm="1">
        <f t="array" ref="C6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6" s="2" t="str" cm="1">
        <f t="array" ref="D6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E6">
        <v>5</v>
      </c>
      <c r="I6" t="str">
        <v>GND_BMP_L</v>
      </c>
      <c r="J6" t="str">
        <v>GND</v>
      </c>
      <c r="K6" t="str">
        <v>Black</v>
      </c>
      <c r="L6" t="str">
        <v>CN7</v>
      </c>
      <c r="M6" t="str">
        <v>R</v>
      </c>
      <c r="N6">
        <v>4</v>
      </c>
      <c r="O6" t="str">
        <v>top</v>
      </c>
      <c r="P6">
        <v>0</v>
      </c>
      <c r="Q6">
        <v>0</v>
      </c>
      <c r="R6">
        <v>0</v>
      </c>
      <c r="S6">
        <v>0</v>
      </c>
    </row>
    <row r="7" spans="1:19" x14ac:dyDescent="0.3">
      <c r="A7">
        <v>6</v>
      </c>
      <c r="C7" s="2" t="str" cm="1">
        <f t="array" ref="C7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7" s="2" t="str" cm="1">
        <f t="array" ref="D7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E7">
        <v>6</v>
      </c>
      <c r="I7" t="str">
        <v>V3.3</v>
      </c>
      <c r="J7" t="str">
        <v>3.3V</v>
      </c>
      <c r="K7" t="str">
        <v>Red</v>
      </c>
      <c r="L7" t="str">
        <v>CN7</v>
      </c>
      <c r="M7" t="str">
        <v>R</v>
      </c>
      <c r="N7">
        <v>8</v>
      </c>
      <c r="O7" t="str">
        <v>top</v>
      </c>
      <c r="P7">
        <v>0</v>
      </c>
      <c r="Q7">
        <v>0</v>
      </c>
      <c r="R7">
        <v>0</v>
      </c>
      <c r="S7">
        <v>0</v>
      </c>
    </row>
    <row r="8" spans="1:19" x14ac:dyDescent="0.3">
      <c r="A8">
        <v>7</v>
      </c>
      <c r="C8" s="2" t="str" cm="1">
        <f t="array" ref="C8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8" s="2" t="str" cm="1">
        <f t="array" ref="D8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E8">
        <v>7</v>
      </c>
      <c r="I8" t="str">
        <v>bt_VCC</v>
      </c>
      <c r="J8" t="str">
        <v>5V</v>
      </c>
      <c r="K8" t="str">
        <v>Purple</v>
      </c>
      <c r="L8" t="str">
        <v>CN7</v>
      </c>
      <c r="M8" t="str">
        <v>R</v>
      </c>
      <c r="N8">
        <v>9</v>
      </c>
      <c r="O8" t="str">
        <v>top</v>
      </c>
      <c r="P8">
        <v>0</v>
      </c>
      <c r="Q8">
        <v>0</v>
      </c>
      <c r="R8">
        <v>0</v>
      </c>
      <c r="S8">
        <v>0</v>
      </c>
    </row>
    <row r="9" spans="1:19" x14ac:dyDescent="0.3">
      <c r="A9">
        <v>8</v>
      </c>
      <c r="C9" s="2" t="str" cm="1">
        <f t="array" ref="C9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9" s="8" t="str" cm="1">
        <f t="array" ref="D9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3.3V</v>
      </c>
      <c r="E9">
        <v>8</v>
      </c>
      <c r="I9" t="str">
        <v>bt_GND</v>
      </c>
      <c r="J9" t="str">
        <v>GND</v>
      </c>
      <c r="K9" t="str">
        <v>Black</v>
      </c>
      <c r="L9" t="str">
        <v>CN7</v>
      </c>
      <c r="M9" t="str">
        <v>R</v>
      </c>
      <c r="N9">
        <v>10</v>
      </c>
      <c r="O9" t="str">
        <v>either</v>
      </c>
      <c r="P9">
        <v>0</v>
      </c>
      <c r="Q9">
        <v>0</v>
      </c>
      <c r="R9">
        <v>0</v>
      </c>
      <c r="S9">
        <v>0</v>
      </c>
    </row>
    <row r="10" spans="1:19" x14ac:dyDescent="0.3">
      <c r="A10">
        <v>9</v>
      </c>
      <c r="C10" s="2" t="str" cm="1">
        <f t="array" ref="C10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10" s="11" t="str" cm="1">
        <f t="array" ref="D10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5V</v>
      </c>
      <c r="E10">
        <v>9</v>
      </c>
      <c r="I10" t="str">
        <v>nucleo_GND</v>
      </c>
      <c r="J10" t="str">
        <v>GND</v>
      </c>
      <c r="K10" t="str">
        <v>Black</v>
      </c>
      <c r="L10" t="str">
        <v>CN7</v>
      </c>
      <c r="M10" t="str">
        <v>R</v>
      </c>
      <c r="N10">
        <v>9</v>
      </c>
      <c r="O10" t="str">
        <v>bottom</v>
      </c>
      <c r="P10">
        <v>0</v>
      </c>
      <c r="Q10">
        <v>0</v>
      </c>
      <c r="R10">
        <v>0</v>
      </c>
      <c r="S10">
        <v>0</v>
      </c>
    </row>
    <row r="11" spans="1:19" x14ac:dyDescent="0.3">
      <c r="A11">
        <v>10</v>
      </c>
      <c r="B11" s="26">
        <v>10</v>
      </c>
      <c r="C11" s="7" t="str" cm="1">
        <f t="array" ref="C11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>GND</v>
      </c>
      <c r="D11" s="7" t="str" cm="1">
        <f t="array" ref="D11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GND</v>
      </c>
      <c r="E11">
        <v>10</v>
      </c>
      <c r="F11">
        <v>10</v>
      </c>
      <c r="I11" t="str">
        <v>nucleo_Power</v>
      </c>
      <c r="J11" t="str">
        <v>VIN</v>
      </c>
      <c r="K11" t="str">
        <v>Red</v>
      </c>
      <c r="L11" t="str">
        <v>CN7</v>
      </c>
      <c r="M11" t="str">
        <v>R</v>
      </c>
      <c r="N11">
        <v>8</v>
      </c>
      <c r="O11" t="str">
        <v>bottom</v>
      </c>
      <c r="P11">
        <v>0</v>
      </c>
      <c r="Q11">
        <v>0</v>
      </c>
      <c r="R11">
        <v>0</v>
      </c>
      <c r="S11">
        <v>0</v>
      </c>
    </row>
    <row r="12" spans="1:19" x14ac:dyDescent="0.3">
      <c r="B12" s="26">
        <v>9</v>
      </c>
      <c r="C12" s="2" t="str" cm="1">
        <f t="array" ref="C12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>B7</v>
      </c>
      <c r="D12" s="7" t="str" cm="1">
        <f t="array" ref="D12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GND</v>
      </c>
      <c r="F12">
        <v>9</v>
      </c>
      <c r="I12" t="str">
        <v>rmot_nSLP</v>
      </c>
      <c r="J12" t="str">
        <v>A0</v>
      </c>
      <c r="K12" t="str">
        <v>Yellow</v>
      </c>
      <c r="L12" t="str">
        <v>CN7</v>
      </c>
      <c r="M12" t="str">
        <v>R</v>
      </c>
      <c r="N12">
        <v>6</v>
      </c>
      <c r="O12" t="str">
        <v>bottom</v>
      </c>
      <c r="P12" t="str">
        <v>OUT_PP</v>
      </c>
      <c r="Q12">
        <v>0</v>
      </c>
      <c r="R12">
        <v>0</v>
      </c>
      <c r="S12">
        <v>0</v>
      </c>
    </row>
    <row r="13" spans="1:19" x14ac:dyDescent="0.3">
      <c r="B13" s="26">
        <v>8</v>
      </c>
      <c r="C13" s="2" t="str" cm="1">
        <f t="array" ref="C13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13" s="8" t="str" cm="1">
        <f t="array" ref="D13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VIN</v>
      </c>
      <c r="F13">
        <v>8</v>
      </c>
      <c r="I13" t="str">
        <v>rmot_DIR</v>
      </c>
      <c r="J13" t="str">
        <v>A1</v>
      </c>
      <c r="K13" t="str">
        <v>Blue</v>
      </c>
      <c r="L13" t="str">
        <v>CN7</v>
      </c>
      <c r="M13" t="str">
        <v>R</v>
      </c>
      <c r="N13">
        <v>5</v>
      </c>
      <c r="O13" t="str">
        <v>bottom</v>
      </c>
      <c r="P13" t="str">
        <v>OUT_PP</v>
      </c>
      <c r="Q13">
        <v>0</v>
      </c>
      <c r="R13">
        <v>0</v>
      </c>
      <c r="S13">
        <v>0</v>
      </c>
    </row>
    <row r="14" spans="1:19" x14ac:dyDescent="0.3">
      <c r="B14" s="26">
        <v>7</v>
      </c>
      <c r="C14" s="2" t="str" cm="1">
        <f t="array" ref="C14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14" s="2" t="str" cm="1">
        <f t="array" ref="D14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F14">
        <v>7</v>
      </c>
      <c r="I14" t="str">
        <v>IR_CH3</v>
      </c>
      <c r="J14" t="str">
        <v>A4</v>
      </c>
      <c r="K14" t="str">
        <v>White</v>
      </c>
      <c r="L14" t="str">
        <v>CN7</v>
      </c>
      <c r="M14" t="str">
        <v>R</v>
      </c>
      <c r="N14">
        <v>4</v>
      </c>
      <c r="O14" t="str">
        <v>bottom</v>
      </c>
      <c r="P14" t="str">
        <v>ANALOG</v>
      </c>
      <c r="Q14">
        <v>0</v>
      </c>
      <c r="R14">
        <v>0</v>
      </c>
      <c r="S14">
        <v>0</v>
      </c>
    </row>
    <row r="15" spans="1:19" x14ac:dyDescent="0.3">
      <c r="B15" s="26">
        <v>6</v>
      </c>
      <c r="C15" s="2" t="str" cm="1">
        <f t="array" ref="C15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15" s="5" t="str" cm="1">
        <f t="array" ref="D15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A0</v>
      </c>
      <c r="F15">
        <v>6</v>
      </c>
      <c r="I15" t="str">
        <v>IR_CH5</v>
      </c>
      <c r="J15" t="str">
        <v>B0</v>
      </c>
      <c r="K15" t="str">
        <v>Purple</v>
      </c>
      <c r="L15" t="str">
        <v>CN7</v>
      </c>
      <c r="M15" t="str">
        <v>R</v>
      </c>
      <c r="N15">
        <v>3</v>
      </c>
      <c r="O15" t="str">
        <v>bottom</v>
      </c>
      <c r="P15" t="str">
        <v>ANALOG</v>
      </c>
      <c r="Q15">
        <v>0</v>
      </c>
      <c r="R15">
        <v>0</v>
      </c>
      <c r="S15">
        <v>0</v>
      </c>
    </row>
    <row r="16" spans="1:19" x14ac:dyDescent="0.3">
      <c r="B16" s="26">
        <v>5</v>
      </c>
      <c r="C16" s="2" t="str" cm="1">
        <f t="array" ref="C16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16" s="12" t="str" cm="1">
        <f t="array" ref="D16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A1</v>
      </c>
      <c r="F16">
        <v>5</v>
      </c>
      <c r="I16" t="str">
        <v>IR_CH7</v>
      </c>
      <c r="J16" t="str">
        <v>C1</v>
      </c>
      <c r="K16" t="str">
        <v>White</v>
      </c>
      <c r="L16" t="str">
        <v>CN7</v>
      </c>
      <c r="M16" t="str">
        <v>R</v>
      </c>
      <c r="N16">
        <v>2</v>
      </c>
      <c r="O16" t="str">
        <v>bottom</v>
      </c>
      <c r="P16" t="str">
        <v>ANALOG</v>
      </c>
      <c r="Q16">
        <v>0</v>
      </c>
      <c r="R16">
        <v>0</v>
      </c>
      <c r="S16">
        <v>0</v>
      </c>
    </row>
    <row r="17" spans="2:19" x14ac:dyDescent="0.3">
      <c r="B17" s="26">
        <v>4</v>
      </c>
      <c r="C17" s="2" t="str" cm="1">
        <f t="array" ref="C17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17" s="2" t="str" cm="1">
        <f t="array" ref="D17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A4</v>
      </c>
      <c r="F17">
        <v>4</v>
      </c>
      <c r="I17" t="str">
        <v>IR_CH9</v>
      </c>
      <c r="J17" t="str">
        <v>C0</v>
      </c>
      <c r="K17" t="str">
        <v>White</v>
      </c>
      <c r="L17" t="str">
        <v>CN7</v>
      </c>
      <c r="M17" t="str">
        <v>R</v>
      </c>
      <c r="N17">
        <v>1</v>
      </c>
      <c r="O17" t="str">
        <v>bottom</v>
      </c>
      <c r="P17" t="str">
        <v>ANALOG</v>
      </c>
      <c r="Q17">
        <v>0</v>
      </c>
      <c r="R17">
        <v>0</v>
      </c>
      <c r="S17">
        <v>0</v>
      </c>
    </row>
    <row r="18" spans="2:19" x14ac:dyDescent="0.3">
      <c r="B18" s="26">
        <v>3</v>
      </c>
      <c r="C18" s="2" t="str" cm="1">
        <f t="array" ref="C18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18" s="11" t="str" cm="1">
        <f t="array" ref="D18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B0</v>
      </c>
      <c r="F18">
        <v>3</v>
      </c>
    </row>
    <row r="19" spans="2:19" x14ac:dyDescent="0.3">
      <c r="B19" s="26">
        <v>2</v>
      </c>
      <c r="C19" s="10" t="str" cm="1">
        <f t="array" ref="C19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>C2</v>
      </c>
      <c r="D19" s="2" t="str" cm="1">
        <f t="array" ref="D19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C1</v>
      </c>
      <c r="F19">
        <v>2</v>
      </c>
    </row>
    <row r="20" spans="2:19" x14ac:dyDescent="0.3">
      <c r="B20" s="26">
        <v>1</v>
      </c>
      <c r="C20" s="9" t="str" cm="1">
        <f t="array" ref="C20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>C3</v>
      </c>
      <c r="D20" s="2" t="str" cm="1">
        <f t="array" ref="D20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C0</v>
      </c>
      <c r="F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55A8-107E-4EDC-83CE-813EF48DD497}">
  <dimension ref="A1:S20"/>
  <sheetViews>
    <sheetView tabSelected="1" zoomScale="120" zoomScaleNormal="120" workbookViewId="0">
      <selection activeCell="J26" sqref="J26"/>
    </sheetView>
  </sheetViews>
  <sheetFormatPr defaultRowHeight="14.4" x14ac:dyDescent="0.3"/>
  <cols>
    <col min="1" max="1" width="20.109375" customWidth="1"/>
    <col min="2" max="2" width="17.5546875" customWidth="1"/>
    <col min="5" max="5" width="17.109375" customWidth="1"/>
    <col min="6" max="6" width="16.5546875" customWidth="1"/>
    <col min="7" max="7" width="8.88671875" customWidth="1"/>
    <col min="9" max="9" width="21.109375" customWidth="1"/>
    <col min="10" max="10" width="14.33203125" customWidth="1"/>
    <col min="11" max="11" width="19.109375" customWidth="1"/>
    <col min="14" max="14" width="11.5546875" customWidth="1"/>
    <col min="15" max="15" width="11.33203125" customWidth="1"/>
    <col min="16" max="16" width="15.109375" customWidth="1"/>
    <col min="17" max="17" width="11.33203125" customWidth="1"/>
    <col min="18" max="18" width="10.6640625" customWidth="1"/>
  </cols>
  <sheetData>
    <row r="1" spans="1:19" x14ac:dyDescent="0.3">
      <c r="A1" t="s">
        <v>105</v>
      </c>
      <c r="B1" t="s">
        <v>106</v>
      </c>
      <c r="E1" t="s">
        <v>107</v>
      </c>
      <c r="F1" t="s">
        <v>108</v>
      </c>
      <c r="I1" t="str" cm="1">
        <f t="array" ref="I1:S18">_xlfn.LET(_xlpm.hdr,'Connection Guide'!A1:K1,_xlpm.data,'Connection Guide'!A2:K1000,_xlpm.pins,19,_xlpm.rows,_xlfn._xlws.FILTER(_xlpm.data,INDEX(_xlpm.data,,4)="CN10"),_xlpm.side,INDEX(_xlpm.rows,,5),_xlpm.dist,INDEX(_xlpm.rows,,6),_xlpm.ref,INDEX(_xlpm.rows,,7),_xlpm.pos,IF(_xlpm.ref="Top",_xlpm.dist,IF(_xlpm.ref="Bottom",_xlpm.pins+1-_xlpm.dist,_xlpm.dist)),_xlpm.lr,(_xlpm.side="R")+0,_xlpm.result,_xlfn.SORTBY(_xlpm.rows,_xlpm.lr,1,_xlpm.pos,1),_xlfn.VSTACK(_xlpm.hdr,_xlpm.result))</f>
        <v>Right Motor:</v>
      </c>
      <c r="J1" t="str">
        <v>Pin</v>
      </c>
      <c r="K1" t="str">
        <v>Wire color</v>
      </c>
      <c r="L1" t="str">
        <v>CN</v>
      </c>
      <c r="M1" t="str">
        <v>L/R on CN</v>
      </c>
      <c r="N1" t="str">
        <v># of pins</v>
      </c>
      <c r="O1" t="str">
        <v>from top/bottom</v>
      </c>
      <c r="P1" t="str">
        <v>Pin Mode</v>
      </c>
      <c r="Q1" t="str">
        <v>AF</v>
      </c>
      <c r="R1" t="str">
        <v>Timer</v>
      </c>
      <c r="S1" t="str">
        <v>Channel</v>
      </c>
    </row>
    <row r="2" spans="1:19" x14ac:dyDescent="0.3">
      <c r="A2">
        <v>1</v>
      </c>
      <c r="C2" s="3" t="str" cm="1">
        <f t="array" ref="C2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>C9</v>
      </c>
      <c r="D2" s="5" t="str" cm="1">
        <f t="array" ref="D2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C8</v>
      </c>
      <c r="E2">
        <v>1</v>
      </c>
      <c r="I2" t="str">
        <v>lmot_DIR</v>
      </c>
      <c r="J2" t="str">
        <v>C9</v>
      </c>
      <c r="K2" t="str">
        <v>Blue</v>
      </c>
      <c r="L2" t="str">
        <v>CN10</v>
      </c>
      <c r="M2" t="str">
        <v>L</v>
      </c>
      <c r="N2">
        <v>1</v>
      </c>
      <c r="O2" t="str">
        <v>top</v>
      </c>
      <c r="P2" t="str">
        <v>OUT_PP</v>
      </c>
      <c r="Q2">
        <v>0</v>
      </c>
      <c r="R2">
        <v>0</v>
      </c>
      <c r="S2">
        <v>0</v>
      </c>
    </row>
    <row r="3" spans="1:19" x14ac:dyDescent="0.3">
      <c r="A3">
        <v>2</v>
      </c>
      <c r="C3" s="2" t="str" cm="1">
        <f t="array" ref="C3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3" s="2" t="str" cm="1">
        <f t="array" ref="D3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E3">
        <v>2</v>
      </c>
      <c r="I3" t="str">
        <v>lmot_PWM</v>
      </c>
      <c r="J3" t="str">
        <v>B9</v>
      </c>
      <c r="K3" t="str">
        <v>Green</v>
      </c>
      <c r="L3" t="str">
        <v>CN10</v>
      </c>
      <c r="M3" t="str">
        <v>L</v>
      </c>
      <c r="N3">
        <v>3</v>
      </c>
      <c r="O3" t="str">
        <v>top</v>
      </c>
      <c r="P3" t="str">
        <v>Timer.PWM</v>
      </c>
      <c r="Q3">
        <v>14</v>
      </c>
      <c r="R3">
        <v>17</v>
      </c>
      <c r="S3">
        <v>1</v>
      </c>
    </row>
    <row r="4" spans="1:19" x14ac:dyDescent="0.3">
      <c r="A4">
        <v>3</v>
      </c>
      <c r="C4" s="4" t="str" cm="1">
        <f t="array" ref="C4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>B9</v>
      </c>
      <c r="D4" s="2" t="str" cm="1">
        <f t="array" ref="D4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C5</v>
      </c>
      <c r="E4">
        <v>3</v>
      </c>
      <c r="I4" t="str">
        <v>imu_GND</v>
      </c>
      <c r="J4" t="str">
        <v>GND</v>
      </c>
      <c r="K4" t="str">
        <v>Black</v>
      </c>
      <c r="L4" t="str">
        <v>CN10</v>
      </c>
      <c r="M4" t="str">
        <v>L</v>
      </c>
      <c r="N4">
        <v>5</v>
      </c>
      <c r="O4" t="str">
        <v>top</v>
      </c>
      <c r="P4">
        <v>0</v>
      </c>
      <c r="Q4">
        <v>0</v>
      </c>
      <c r="R4">
        <v>0</v>
      </c>
      <c r="S4">
        <v>0</v>
      </c>
    </row>
    <row r="5" spans="1:19" x14ac:dyDescent="0.3">
      <c r="A5">
        <v>4</v>
      </c>
      <c r="C5" s="2" t="str" cm="1">
        <f t="array" ref="C5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5" s="2" t="str" cm="1">
        <f t="array" ref="D5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E5">
        <v>4</v>
      </c>
      <c r="I5" t="str">
        <v>rmot_PWM</v>
      </c>
      <c r="J5" t="str">
        <v>A6</v>
      </c>
      <c r="K5" t="str">
        <v>Green</v>
      </c>
      <c r="L5" t="str">
        <v>CN10</v>
      </c>
      <c r="M5" t="str">
        <v>L</v>
      </c>
      <c r="N5">
        <v>7</v>
      </c>
      <c r="O5" t="str">
        <v>top</v>
      </c>
      <c r="P5" t="str">
        <v>Timer.PWM</v>
      </c>
      <c r="Q5">
        <v>14</v>
      </c>
      <c r="R5">
        <v>16</v>
      </c>
      <c r="S5">
        <v>1</v>
      </c>
    </row>
    <row r="6" spans="1:19" x14ac:dyDescent="0.3">
      <c r="A6">
        <v>5</v>
      </c>
      <c r="C6" s="7" t="str" cm="1">
        <f t="array" ref="C6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>GND</v>
      </c>
      <c r="D6" s="2" t="str" cm="1">
        <f t="array" ref="D6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E6">
        <v>5</v>
      </c>
      <c r="I6" t="str">
        <v>bt_RXD</v>
      </c>
      <c r="J6" t="str">
        <v>B6</v>
      </c>
      <c r="K6" t="str">
        <v>Orange</v>
      </c>
      <c r="L6" t="str">
        <v>CN10</v>
      </c>
      <c r="M6" t="str">
        <v>L</v>
      </c>
      <c r="N6">
        <v>9</v>
      </c>
      <c r="O6" t="str">
        <v>top</v>
      </c>
      <c r="P6" t="str">
        <v>ALT</v>
      </c>
      <c r="Q6">
        <v>7</v>
      </c>
      <c r="R6" t="str">
        <v>USART1</v>
      </c>
      <c r="S6" t="str">
        <v>TX</v>
      </c>
    </row>
    <row r="7" spans="1:19" x14ac:dyDescent="0.3">
      <c r="A7">
        <v>6</v>
      </c>
      <c r="C7" s="2" t="str" cm="1">
        <f t="array" ref="C7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7" s="2" t="str" cm="1">
        <f t="array" ref="D7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E7">
        <v>6</v>
      </c>
      <c r="I7" t="str">
        <v>lenc_ChB</v>
      </c>
      <c r="J7" t="str">
        <v>A9</v>
      </c>
      <c r="K7" t="str">
        <v>Yellow</v>
      </c>
      <c r="L7" t="str">
        <v>CN10</v>
      </c>
      <c r="M7" t="str">
        <v>L</v>
      </c>
      <c r="N7">
        <v>9</v>
      </c>
      <c r="O7" t="str">
        <v>bottom</v>
      </c>
      <c r="P7" t="str">
        <v>OUT_PP</v>
      </c>
      <c r="Q7">
        <v>1</v>
      </c>
      <c r="R7">
        <v>1</v>
      </c>
      <c r="S7">
        <v>2</v>
      </c>
    </row>
    <row r="8" spans="1:19" x14ac:dyDescent="0.3">
      <c r="A8">
        <v>7</v>
      </c>
      <c r="C8" s="4" t="str" cm="1">
        <f t="array" ref="C8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>A6</v>
      </c>
      <c r="D8" s="2" t="str" cm="1">
        <f t="array" ref="D8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E8">
        <v>7</v>
      </c>
      <c r="I8" t="str">
        <v>lenc_ChA</v>
      </c>
      <c r="J8" t="str">
        <v>A8</v>
      </c>
      <c r="K8" t="str">
        <v>Blue</v>
      </c>
      <c r="L8" t="str">
        <v>CN10</v>
      </c>
      <c r="M8" t="str">
        <v>L</v>
      </c>
      <c r="N8">
        <v>8</v>
      </c>
      <c r="O8" t="str">
        <v>bottom</v>
      </c>
      <c r="P8" t="str">
        <v>OUT_PP</v>
      </c>
      <c r="Q8">
        <v>1</v>
      </c>
      <c r="R8">
        <v>1</v>
      </c>
      <c r="S8">
        <v>1</v>
      </c>
    </row>
    <row r="9" spans="1:19" x14ac:dyDescent="0.3">
      <c r="A9">
        <v>8</v>
      </c>
      <c r="C9" s="2" t="str" cm="1">
        <f t="array" ref="C9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9" s="6" t="str" cm="1">
        <f t="array" ref="D9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B12</v>
      </c>
      <c r="E9">
        <v>8</v>
      </c>
      <c r="I9" t="str">
        <v>imu_SCL</v>
      </c>
      <c r="J9" t="str">
        <v>B10</v>
      </c>
      <c r="K9" t="str">
        <v>Blue</v>
      </c>
      <c r="L9" t="str">
        <v>CN10</v>
      </c>
      <c r="M9" t="str">
        <v>L</v>
      </c>
      <c r="N9">
        <v>7</v>
      </c>
      <c r="O9" t="str">
        <v>bottom</v>
      </c>
      <c r="P9" t="str">
        <v>ALT</v>
      </c>
      <c r="Q9">
        <v>4</v>
      </c>
      <c r="R9" t="str">
        <v>I2C2</v>
      </c>
      <c r="S9" t="str">
        <v>SCL</v>
      </c>
    </row>
    <row r="10" spans="1:19" x14ac:dyDescent="0.3">
      <c r="A10">
        <v>9</v>
      </c>
      <c r="C10" s="6" t="str" cm="1">
        <f t="array" ref="C10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>B6</v>
      </c>
      <c r="D10" s="5" t="str" cm="1">
        <f t="array" ref="D10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B11</v>
      </c>
      <c r="E10">
        <v>9</v>
      </c>
      <c r="I10" t="str">
        <v>renc_ChA</v>
      </c>
      <c r="J10" t="str">
        <v>B4</v>
      </c>
      <c r="K10" t="str">
        <v>Blue</v>
      </c>
      <c r="L10" t="str">
        <v>CN10</v>
      </c>
      <c r="M10" t="str">
        <v>L</v>
      </c>
      <c r="N10">
        <v>6</v>
      </c>
      <c r="O10" t="str">
        <v>bottom</v>
      </c>
      <c r="P10" t="str">
        <v>OUT_PP</v>
      </c>
      <c r="Q10">
        <v>2</v>
      </c>
      <c r="R10">
        <v>3</v>
      </c>
      <c r="S10">
        <v>1</v>
      </c>
    </row>
    <row r="11" spans="1:19" x14ac:dyDescent="0.3">
      <c r="A11">
        <v>10</v>
      </c>
      <c r="B11" s="26">
        <v>10</v>
      </c>
      <c r="C11" s="2" t="str" cm="1">
        <f t="array" ref="C11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11" s="7" t="str" cm="1">
        <f t="array" ref="D11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GND</v>
      </c>
      <c r="E11">
        <v>10</v>
      </c>
      <c r="F11">
        <v>10</v>
      </c>
      <c r="I11" t="str">
        <v>renc_ChB</v>
      </c>
      <c r="J11" t="str">
        <v>B5</v>
      </c>
      <c r="K11" t="str">
        <v>Yellow</v>
      </c>
      <c r="L11" t="str">
        <v>CN10</v>
      </c>
      <c r="M11" t="str">
        <v>L</v>
      </c>
      <c r="N11">
        <v>5</v>
      </c>
      <c r="O11" t="str">
        <v>bottom</v>
      </c>
      <c r="P11" t="str">
        <v>OUT_PP</v>
      </c>
      <c r="Q11">
        <v>2</v>
      </c>
      <c r="R11">
        <v>3</v>
      </c>
      <c r="S11">
        <v>2</v>
      </c>
    </row>
    <row r="12" spans="1:19" x14ac:dyDescent="0.3">
      <c r="B12" s="26">
        <v>9</v>
      </c>
      <c r="C12" s="5" t="str" cm="1">
        <f t="array" ref="C12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>A9</v>
      </c>
      <c r="D12" s="2" t="str" cm="1">
        <f t="array" ref="D12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F12">
        <v>9</v>
      </c>
      <c r="I12" t="str">
        <v>lmot_nSLP</v>
      </c>
      <c r="J12" t="str">
        <v>C8</v>
      </c>
      <c r="K12" t="str">
        <v>Yellow</v>
      </c>
      <c r="L12" t="str">
        <v>CN10</v>
      </c>
      <c r="M12" t="str">
        <v>R</v>
      </c>
      <c r="N12">
        <v>1</v>
      </c>
      <c r="O12" t="str">
        <v>top</v>
      </c>
      <c r="P12" t="str">
        <v>OUT_PP</v>
      </c>
      <c r="Q12">
        <v>0</v>
      </c>
      <c r="R12">
        <v>0</v>
      </c>
      <c r="S12">
        <v>0</v>
      </c>
    </row>
    <row r="13" spans="1:19" x14ac:dyDescent="0.3">
      <c r="B13" s="26">
        <v>8</v>
      </c>
      <c r="C13" s="3" t="str" cm="1">
        <f t="array" ref="C13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>A8</v>
      </c>
      <c r="D13" s="2" t="str" cm="1">
        <f t="array" ref="D13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F13">
        <v>8</v>
      </c>
      <c r="I13" t="str">
        <v>IR_CH13</v>
      </c>
      <c r="J13" t="str">
        <v>C5</v>
      </c>
      <c r="K13" t="str">
        <v>White</v>
      </c>
      <c r="L13" t="str">
        <v>CN10</v>
      </c>
      <c r="M13" t="str">
        <v>R</v>
      </c>
      <c r="N13">
        <v>3</v>
      </c>
      <c r="O13" t="str">
        <v>top</v>
      </c>
      <c r="P13" t="str">
        <v>ANALOG</v>
      </c>
      <c r="Q13">
        <v>0</v>
      </c>
      <c r="R13">
        <v>0</v>
      </c>
      <c r="S13">
        <v>0</v>
      </c>
    </row>
    <row r="14" spans="1:19" x14ac:dyDescent="0.3">
      <c r="B14" s="26">
        <v>7</v>
      </c>
      <c r="C14" s="3" t="str" cm="1">
        <f t="array" ref="C14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>B10</v>
      </c>
      <c r="D14" s="2" t="str" cm="1">
        <f t="array" ref="D14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F14">
        <v>7</v>
      </c>
      <c r="I14" t="str">
        <v>BMP_R</v>
      </c>
      <c r="J14" t="str">
        <v>B12</v>
      </c>
      <c r="K14" t="str">
        <v>Orange</v>
      </c>
      <c r="L14" t="str">
        <v>CN10</v>
      </c>
      <c r="M14" t="str">
        <v>R</v>
      </c>
      <c r="N14">
        <v>8</v>
      </c>
      <c r="O14" t="str">
        <v>top</v>
      </c>
      <c r="P14" t="str">
        <v>IN and PULL_UP</v>
      </c>
      <c r="Q14">
        <v>0</v>
      </c>
      <c r="R14">
        <v>0</v>
      </c>
      <c r="S14">
        <v>0</v>
      </c>
    </row>
    <row r="15" spans="1:19" x14ac:dyDescent="0.3">
      <c r="B15" s="26">
        <v>6</v>
      </c>
      <c r="C15" s="3" t="str" cm="1">
        <f t="array" ref="C15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>B4</v>
      </c>
      <c r="D15" s="2" t="str" cm="1">
        <f t="array" ref="D15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F15">
        <v>6</v>
      </c>
      <c r="I15" t="str">
        <v>imu_SDA</v>
      </c>
      <c r="J15" t="str">
        <v>B11</v>
      </c>
      <c r="K15" t="str">
        <v>Yellow</v>
      </c>
      <c r="L15" t="str">
        <v>CN10</v>
      </c>
      <c r="M15" t="str">
        <v>R</v>
      </c>
      <c r="N15">
        <v>9</v>
      </c>
      <c r="O15" t="str">
        <v>top</v>
      </c>
      <c r="P15" t="str">
        <v>ALT</v>
      </c>
      <c r="Q15">
        <v>4</v>
      </c>
      <c r="R15" t="str">
        <v>I2C2</v>
      </c>
      <c r="S15" t="str">
        <v>SDA</v>
      </c>
    </row>
    <row r="16" spans="1:19" x14ac:dyDescent="0.3">
      <c r="B16" s="26">
        <v>5</v>
      </c>
      <c r="C16" s="5" t="str" cm="1">
        <f t="array" ref="C16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>B5</v>
      </c>
      <c r="D16" s="6" t="str" cm="1">
        <f t="array" ref="D16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B13</v>
      </c>
      <c r="F16">
        <v>5</v>
      </c>
      <c r="I16" t="str">
        <v>ir_GND</v>
      </c>
      <c r="J16" t="str">
        <v>GND</v>
      </c>
      <c r="K16" t="str">
        <v>Black</v>
      </c>
      <c r="L16" t="str">
        <v>CN10</v>
      </c>
      <c r="M16" t="str">
        <v>R</v>
      </c>
      <c r="N16">
        <v>10</v>
      </c>
      <c r="O16" t="str">
        <v>either</v>
      </c>
      <c r="P16">
        <v>0</v>
      </c>
      <c r="Q16">
        <v>0</v>
      </c>
      <c r="R16">
        <v>0</v>
      </c>
      <c r="S16">
        <v>0</v>
      </c>
    </row>
    <row r="17" spans="2:19" x14ac:dyDescent="0.3">
      <c r="B17" s="26">
        <v>4</v>
      </c>
      <c r="C17" s="2" t="str" cm="1">
        <f t="array" ref="C17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17" s="2" t="str" cm="1">
        <f t="array" ref="D17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F17">
        <v>4</v>
      </c>
      <c r="I17" t="str">
        <v>BMP_L</v>
      </c>
      <c r="J17" t="str">
        <v>B13</v>
      </c>
      <c r="K17" t="str">
        <v>Orange</v>
      </c>
      <c r="L17" t="str">
        <v>CN10</v>
      </c>
      <c r="M17" t="str">
        <v>R</v>
      </c>
      <c r="N17">
        <v>5</v>
      </c>
      <c r="O17" t="str">
        <v>bottom</v>
      </c>
      <c r="P17" t="str">
        <v>IN and PULL_UP</v>
      </c>
      <c r="Q17">
        <v>0</v>
      </c>
      <c r="R17">
        <v>0</v>
      </c>
      <c r="S17">
        <v>0</v>
      </c>
    </row>
    <row r="18" spans="2:19" x14ac:dyDescent="0.3">
      <c r="B18" s="26">
        <v>3</v>
      </c>
      <c r="C18" s="2" t="str" cm="1">
        <f t="array" ref="C18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18" s="2" t="str" cm="1">
        <f t="array" ref="D18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>C4</v>
      </c>
      <c r="F18">
        <v>3</v>
      </c>
      <c r="I18" t="str">
        <v>IR_CH11</v>
      </c>
      <c r="J18" t="str">
        <v>C4</v>
      </c>
      <c r="K18" t="str">
        <v>White</v>
      </c>
      <c r="L18" t="str">
        <v>CN10</v>
      </c>
      <c r="M18" t="str">
        <v>R</v>
      </c>
      <c r="N18">
        <v>3</v>
      </c>
      <c r="O18" t="str">
        <v>bottom</v>
      </c>
      <c r="P18" t="str">
        <v>ANALOG</v>
      </c>
      <c r="Q18">
        <v>0</v>
      </c>
      <c r="R18">
        <v>0</v>
      </c>
      <c r="S18">
        <v>0</v>
      </c>
    </row>
    <row r="19" spans="2:19" x14ac:dyDescent="0.3">
      <c r="B19" s="26">
        <v>2</v>
      </c>
      <c r="C19" s="2" t="str" cm="1">
        <f t="array" ref="C19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19" s="2" t="str" cm="1">
        <f t="array" ref="D19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F19">
        <v>2</v>
      </c>
    </row>
    <row r="20" spans="2:19" x14ac:dyDescent="0.3">
      <c r="B20" s="26">
        <v>1</v>
      </c>
      <c r="C20" s="2" t="str" cm="1">
        <f t="array" ref="C20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L"),_xlfn._xlws.FILTER(INDEX(_xlpm.tbl,,2),_xlpm.side="L"),""))</f>
        <v/>
      </c>
      <c r="D20" s="2" t="str" cm="1">
        <f t="array" ref="D20">_xlfn.LET(_xlpm.tbl,$I$2:$O$1000,_xlpm.pins,19,_xlpm.side,INDEX(_xlpm.tbl,,5),_xlpm.dist,INDEX(_xlpm.tbl,,6),_xlpm.ref,INDEX(_xlpm.tbl,,7),_xlpm.pos,IF(_xlpm.ref="top",_xlpm.dist,IF(_xlpm.ref="bottom",_xlpm.pins+1-_xlpm.dist,_xlpm.dist)),_xlpm.r,ROW()-1,_xlfn.XLOOKUP(_xlpm.r,_xlfn._xlws.FILTER(_xlpm.pos,_xlpm.side="R"),_xlfn._xlws.FILTER(INDEX(_xlpm.tbl,,2),_xlpm.side="R"),""))</f>
        <v/>
      </c>
      <c r="F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B724-42EE-4F7D-AD5B-D62AADAA0DF4}">
  <dimension ref="B1:T53"/>
  <sheetViews>
    <sheetView topLeftCell="A21" zoomScale="66" workbookViewId="0">
      <selection activeCell="C40" sqref="C40"/>
    </sheetView>
  </sheetViews>
  <sheetFormatPr defaultRowHeight="14.4" x14ac:dyDescent="0.3"/>
  <sheetData>
    <row r="1" spans="2:20" ht="15" thickBot="1" x14ac:dyDescent="0.35"/>
    <row r="2" spans="2:20" x14ac:dyDescent="0.3">
      <c r="B2" s="20" t="s">
        <v>168</v>
      </c>
      <c r="C2" s="19" t="s">
        <v>167</v>
      </c>
      <c r="D2" s="18" t="s">
        <v>166</v>
      </c>
      <c r="E2" s="20" t="s">
        <v>165</v>
      </c>
      <c r="F2" s="19" t="s">
        <v>164</v>
      </c>
      <c r="G2" s="19" t="s">
        <v>163</v>
      </c>
      <c r="H2" s="19" t="s">
        <v>162</v>
      </c>
      <c r="I2" s="19" t="s">
        <v>161</v>
      </c>
      <c r="J2" s="19" t="s">
        <v>160</v>
      </c>
      <c r="K2" s="19" t="s">
        <v>159</v>
      </c>
      <c r="L2" s="19" t="s">
        <v>158</v>
      </c>
      <c r="M2" s="19" t="s">
        <v>157</v>
      </c>
      <c r="N2" s="19" t="s">
        <v>156</v>
      </c>
      <c r="O2" s="19" t="s">
        <v>155</v>
      </c>
      <c r="P2" s="19" t="s">
        <v>154</v>
      </c>
      <c r="Q2" s="19" t="s">
        <v>153</v>
      </c>
      <c r="R2" s="19" t="s">
        <v>152</v>
      </c>
      <c r="S2" s="19" t="s">
        <v>151</v>
      </c>
      <c r="T2" s="18" t="s">
        <v>150</v>
      </c>
    </row>
    <row r="3" spans="2:20" x14ac:dyDescent="0.3">
      <c r="B3" s="21" t="s">
        <v>26</v>
      </c>
      <c r="C3" s="6" t="s">
        <v>114</v>
      </c>
      <c r="D3" s="22" t="s">
        <v>146</v>
      </c>
      <c r="E3" s="1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16"/>
    </row>
    <row r="4" spans="2:20" x14ac:dyDescent="0.3">
      <c r="B4" s="21" t="s">
        <v>19</v>
      </c>
      <c r="C4" s="6" t="s">
        <v>114</v>
      </c>
      <c r="D4" s="22" t="s">
        <v>146</v>
      </c>
      <c r="E4" s="1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16"/>
    </row>
    <row r="5" spans="2:20" x14ac:dyDescent="0.3">
      <c r="B5" s="21" t="s">
        <v>149</v>
      </c>
      <c r="C5" s="6" t="s">
        <v>114</v>
      </c>
      <c r="D5" s="22" t="s">
        <v>113</v>
      </c>
      <c r="E5" s="1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6"/>
    </row>
    <row r="6" spans="2:20" x14ac:dyDescent="0.3">
      <c r="B6" s="21" t="s">
        <v>148</v>
      </c>
      <c r="C6" s="6" t="s">
        <v>114</v>
      </c>
      <c r="D6" s="22" t="s">
        <v>113</v>
      </c>
      <c r="E6" s="1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16"/>
    </row>
    <row r="7" spans="2:20" x14ac:dyDescent="0.3">
      <c r="B7" s="21" t="s">
        <v>79</v>
      </c>
      <c r="C7" s="6" t="s">
        <v>114</v>
      </c>
      <c r="D7" s="22" t="s">
        <v>78</v>
      </c>
      <c r="E7" s="1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16"/>
    </row>
    <row r="8" spans="2:20" x14ac:dyDescent="0.3">
      <c r="B8" s="21" t="s">
        <v>147</v>
      </c>
      <c r="C8" s="6" t="s">
        <v>114</v>
      </c>
      <c r="D8" s="22" t="s">
        <v>113</v>
      </c>
      <c r="E8" s="1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16"/>
    </row>
    <row r="9" spans="2:20" x14ac:dyDescent="0.3">
      <c r="B9" s="21" t="s">
        <v>12</v>
      </c>
      <c r="C9" s="6" t="s">
        <v>114</v>
      </c>
      <c r="D9" s="22" t="s">
        <v>146</v>
      </c>
      <c r="E9" s="1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6"/>
    </row>
    <row r="10" spans="2:20" x14ac:dyDescent="0.3">
      <c r="B10" s="17" t="s">
        <v>145</v>
      </c>
      <c r="C10" s="2" t="s">
        <v>109</v>
      </c>
      <c r="D10" s="16"/>
      <c r="E10" s="17"/>
      <c r="F10" s="2" t="s">
        <v>142</v>
      </c>
      <c r="G10" s="2" t="s">
        <v>142</v>
      </c>
      <c r="H10" s="2" t="s">
        <v>142</v>
      </c>
      <c r="I10" s="2"/>
      <c r="J10" s="2" t="s">
        <v>142</v>
      </c>
      <c r="K10" s="2"/>
      <c r="L10" s="2"/>
      <c r="M10" s="2"/>
      <c r="N10" s="2"/>
      <c r="O10" s="2"/>
      <c r="P10" s="2"/>
      <c r="Q10" s="2"/>
      <c r="R10" s="2"/>
      <c r="S10" s="2"/>
      <c r="T10" s="16"/>
    </row>
    <row r="11" spans="2:20" x14ac:dyDescent="0.3">
      <c r="B11" s="17" t="s">
        <v>42</v>
      </c>
      <c r="C11" s="2" t="s">
        <v>114</v>
      </c>
      <c r="D11" s="16" t="s">
        <v>144</v>
      </c>
      <c r="E11" s="1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16"/>
    </row>
    <row r="12" spans="2:20" x14ac:dyDescent="0.3">
      <c r="B12" s="17" t="s">
        <v>44</v>
      </c>
      <c r="C12" s="2" t="s">
        <v>114</v>
      </c>
      <c r="D12" s="16" t="s">
        <v>144</v>
      </c>
      <c r="E12" s="1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6"/>
    </row>
    <row r="13" spans="2:20" x14ac:dyDescent="0.3">
      <c r="B13" s="17" t="s">
        <v>143</v>
      </c>
      <c r="C13" s="2" t="s">
        <v>109</v>
      </c>
      <c r="D13" s="16"/>
      <c r="E13" s="17"/>
      <c r="F13" s="2" t="s">
        <v>142</v>
      </c>
      <c r="G13" s="2"/>
      <c r="H13" s="2"/>
      <c r="I13" s="2"/>
      <c r="J13" s="2"/>
      <c r="K13" s="2"/>
      <c r="L13" s="2" t="s">
        <v>142</v>
      </c>
      <c r="M13" s="2"/>
      <c r="N13" s="2"/>
      <c r="O13" s="2"/>
      <c r="P13" s="2"/>
      <c r="Q13" s="2"/>
      <c r="R13" s="2"/>
      <c r="S13" s="2"/>
      <c r="T13" s="16"/>
    </row>
    <row r="14" spans="2:20" x14ac:dyDescent="0.3">
      <c r="B14" s="17" t="s">
        <v>141</v>
      </c>
      <c r="C14" s="2" t="s">
        <v>114</v>
      </c>
      <c r="D14" s="16" t="s">
        <v>113</v>
      </c>
      <c r="E14" s="1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6"/>
    </row>
    <row r="15" spans="2:20" x14ac:dyDescent="0.3">
      <c r="B15" s="17" t="s">
        <v>140</v>
      </c>
      <c r="C15" s="2" t="s">
        <v>114</v>
      </c>
      <c r="D15" s="16" t="s">
        <v>113</v>
      </c>
      <c r="E15" s="1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16"/>
    </row>
    <row r="16" spans="2:20" x14ac:dyDescent="0.3">
      <c r="B16" s="17" t="s">
        <v>139</v>
      </c>
      <c r="C16" s="2" t="s">
        <v>114</v>
      </c>
      <c r="D16" s="16" t="s">
        <v>113</v>
      </c>
      <c r="E16" s="1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6"/>
    </row>
    <row r="17" spans="2:20" x14ac:dyDescent="0.3">
      <c r="B17" s="17" t="s">
        <v>138</v>
      </c>
      <c r="C17" s="2" t="s">
        <v>114</v>
      </c>
      <c r="D17" s="16" t="s">
        <v>113</v>
      </c>
      <c r="E17" s="1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16"/>
    </row>
    <row r="18" spans="2:20" x14ac:dyDescent="0.3">
      <c r="B18" s="17" t="s">
        <v>137</v>
      </c>
      <c r="C18" s="2" t="s">
        <v>109</v>
      </c>
      <c r="D18" s="16"/>
      <c r="E18" s="1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6"/>
    </row>
    <row r="19" spans="2:20" x14ac:dyDescent="0.3">
      <c r="B19" s="17" t="s">
        <v>81</v>
      </c>
      <c r="C19" s="2" t="s">
        <v>114</v>
      </c>
      <c r="D19" s="16" t="s">
        <v>80</v>
      </c>
      <c r="E19" s="1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6"/>
    </row>
    <row r="20" spans="2:20" x14ac:dyDescent="0.3">
      <c r="B20" s="17" t="s">
        <v>136</v>
      </c>
      <c r="C20" s="2" t="s">
        <v>109</v>
      </c>
      <c r="D20" s="16"/>
      <c r="E20" s="1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6"/>
    </row>
    <row r="21" spans="2:20" x14ac:dyDescent="0.3">
      <c r="B21" s="17" t="s">
        <v>135</v>
      </c>
      <c r="C21" s="2" t="s">
        <v>114</v>
      </c>
      <c r="D21" s="16" t="s">
        <v>169</v>
      </c>
      <c r="E21" s="1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6"/>
    </row>
    <row r="22" spans="2:20" x14ac:dyDescent="0.3">
      <c r="B22" s="17" t="s">
        <v>134</v>
      </c>
      <c r="C22" s="2" t="s">
        <v>109</v>
      </c>
      <c r="D22" s="16"/>
      <c r="E22" s="1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16"/>
    </row>
    <row r="23" spans="2:20" x14ac:dyDescent="0.3">
      <c r="B23" s="17" t="s">
        <v>30</v>
      </c>
      <c r="C23" s="2" t="s">
        <v>114</v>
      </c>
      <c r="D23" s="16" t="s">
        <v>133</v>
      </c>
      <c r="E23" s="1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16"/>
    </row>
    <row r="24" spans="2:20" x14ac:dyDescent="0.3">
      <c r="B24" s="17" t="s">
        <v>32</v>
      </c>
      <c r="C24" s="2" t="s">
        <v>114</v>
      </c>
      <c r="D24" s="16" t="s">
        <v>133</v>
      </c>
      <c r="E24" s="1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6"/>
    </row>
    <row r="25" spans="2:20" x14ac:dyDescent="0.3">
      <c r="B25" s="17" t="s">
        <v>63</v>
      </c>
      <c r="C25" s="2" t="s">
        <v>114</v>
      </c>
      <c r="D25" s="16" t="s">
        <v>132</v>
      </c>
      <c r="E25" s="1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6"/>
    </row>
    <row r="26" spans="2:20" x14ac:dyDescent="0.3">
      <c r="B26" s="17" t="s">
        <v>69</v>
      </c>
      <c r="C26" s="2" t="s">
        <v>114</v>
      </c>
      <c r="D26" s="16" t="s">
        <v>132</v>
      </c>
      <c r="E26" s="1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6"/>
    </row>
    <row r="27" spans="2:20" x14ac:dyDescent="0.3">
      <c r="B27" s="17" t="s">
        <v>131</v>
      </c>
      <c r="C27" s="2" t="s">
        <v>109</v>
      </c>
      <c r="D27" s="16"/>
      <c r="E27" s="1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16"/>
    </row>
    <row r="28" spans="2:20" x14ac:dyDescent="0.3">
      <c r="B28" s="17" t="s">
        <v>35</v>
      </c>
      <c r="C28" s="2" t="s">
        <v>114</v>
      </c>
      <c r="D28" s="16" t="s">
        <v>121</v>
      </c>
      <c r="E28" s="1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16"/>
    </row>
    <row r="29" spans="2:20" x14ac:dyDescent="0.3">
      <c r="B29" s="17" t="s">
        <v>130</v>
      </c>
      <c r="C29" s="2" t="s">
        <v>114</v>
      </c>
      <c r="D29" s="16" t="s">
        <v>173</v>
      </c>
      <c r="E29" s="1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16"/>
    </row>
    <row r="30" spans="2:20" x14ac:dyDescent="0.3">
      <c r="B30" s="17" t="s">
        <v>129</v>
      </c>
      <c r="C30" s="2" t="s">
        <v>114</v>
      </c>
      <c r="D30" s="16" t="s">
        <v>174</v>
      </c>
      <c r="E30" s="1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16"/>
    </row>
    <row r="31" spans="2:20" x14ac:dyDescent="0.3">
      <c r="B31" s="17" t="s">
        <v>128</v>
      </c>
      <c r="C31" s="2" t="s">
        <v>109</v>
      </c>
      <c r="D31" s="16"/>
      <c r="E31" s="1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16"/>
    </row>
    <row r="32" spans="2:20" x14ac:dyDescent="0.3">
      <c r="B32" s="17" t="s">
        <v>127</v>
      </c>
      <c r="C32" s="2" t="s">
        <v>109</v>
      </c>
      <c r="D32" s="16"/>
      <c r="E32" s="1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16"/>
    </row>
    <row r="33" spans="2:20" x14ac:dyDescent="0.3">
      <c r="B33" s="17" t="s">
        <v>126</v>
      </c>
      <c r="C33" s="2" t="s">
        <v>109</v>
      </c>
      <c r="D33" s="16"/>
      <c r="E33" s="1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16"/>
    </row>
    <row r="34" spans="2:20" x14ac:dyDescent="0.3">
      <c r="B34" s="17" t="s">
        <v>125</v>
      </c>
      <c r="C34" s="2" t="s">
        <v>109</v>
      </c>
      <c r="D34" s="16"/>
      <c r="E34" s="1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16"/>
    </row>
    <row r="35" spans="2:20" x14ac:dyDescent="0.3">
      <c r="B35" s="17" t="s">
        <v>85</v>
      </c>
      <c r="C35" s="2" t="s">
        <v>114</v>
      </c>
      <c r="D35" s="16" t="s">
        <v>84</v>
      </c>
      <c r="E35" s="1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16"/>
    </row>
    <row r="36" spans="2:20" x14ac:dyDescent="0.3">
      <c r="B36" s="17" t="s">
        <v>83</v>
      </c>
      <c r="C36" s="2" t="s">
        <v>114</v>
      </c>
      <c r="D36" s="16" t="s">
        <v>82</v>
      </c>
      <c r="E36" s="1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16"/>
    </row>
    <row r="37" spans="2:20" x14ac:dyDescent="0.3">
      <c r="B37" s="17" t="s">
        <v>53</v>
      </c>
      <c r="C37" s="2" t="s">
        <v>114</v>
      </c>
      <c r="D37" s="16" t="s">
        <v>124</v>
      </c>
      <c r="E37" s="1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16"/>
    </row>
    <row r="38" spans="2:20" x14ac:dyDescent="0.3">
      <c r="B38" s="17" t="s">
        <v>77</v>
      </c>
      <c r="C38" s="2" t="s">
        <v>114</v>
      </c>
      <c r="D38" s="16" t="s">
        <v>76</v>
      </c>
      <c r="E38" s="1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16"/>
    </row>
    <row r="39" spans="2:20" x14ac:dyDescent="0.3">
      <c r="B39" s="17" t="s">
        <v>87</v>
      </c>
      <c r="C39" s="2" t="s">
        <v>114</v>
      </c>
      <c r="D39" s="16" t="s">
        <v>86</v>
      </c>
      <c r="E39" s="1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16"/>
    </row>
    <row r="40" spans="2:20" x14ac:dyDescent="0.3">
      <c r="B40" s="17" t="s">
        <v>89</v>
      </c>
      <c r="C40" s="2" t="s">
        <v>114</v>
      </c>
      <c r="D40" s="16" t="s">
        <v>88</v>
      </c>
      <c r="E40" s="1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16"/>
    </row>
    <row r="41" spans="2:20" x14ac:dyDescent="0.3">
      <c r="B41" s="17" t="s">
        <v>123</v>
      </c>
      <c r="C41" s="2" t="s">
        <v>109</v>
      </c>
      <c r="D41" s="16"/>
      <c r="E41" s="1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16"/>
    </row>
    <row r="42" spans="2:20" x14ac:dyDescent="0.3">
      <c r="B42" s="17" t="s">
        <v>122</v>
      </c>
      <c r="C42" s="2" t="s">
        <v>109</v>
      </c>
      <c r="D42" s="16"/>
      <c r="E42" s="1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16"/>
    </row>
    <row r="43" spans="2:20" x14ac:dyDescent="0.3">
      <c r="B43" s="17" t="s">
        <v>39</v>
      </c>
      <c r="C43" s="2" t="s">
        <v>114</v>
      </c>
      <c r="D43" s="16" t="s">
        <v>121</v>
      </c>
      <c r="E43" s="1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16"/>
    </row>
    <row r="44" spans="2:20" x14ac:dyDescent="0.3">
      <c r="B44" s="17" t="s">
        <v>37</v>
      </c>
      <c r="C44" s="2" t="s">
        <v>114</v>
      </c>
      <c r="D44" s="16" t="s">
        <v>121</v>
      </c>
      <c r="E44" s="1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16"/>
    </row>
    <row r="45" spans="2:20" x14ac:dyDescent="0.3">
      <c r="B45" s="17" t="s">
        <v>120</v>
      </c>
      <c r="C45" s="2" t="s">
        <v>109</v>
      </c>
      <c r="D45" s="16"/>
      <c r="E45" s="1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16"/>
    </row>
    <row r="46" spans="2:20" x14ac:dyDescent="0.3">
      <c r="B46" s="17" t="s">
        <v>119</v>
      </c>
      <c r="C46" s="2" t="s">
        <v>109</v>
      </c>
      <c r="D46" s="16"/>
      <c r="E46" s="1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16"/>
    </row>
    <row r="47" spans="2:20" x14ac:dyDescent="0.3">
      <c r="B47" s="17" t="s">
        <v>118</v>
      </c>
      <c r="C47" s="2" t="s">
        <v>109</v>
      </c>
      <c r="D47" s="16"/>
      <c r="E47" s="1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16"/>
    </row>
    <row r="48" spans="2:20" x14ac:dyDescent="0.3">
      <c r="B48" s="17" t="s">
        <v>117</v>
      </c>
      <c r="C48" s="2" t="s">
        <v>114</v>
      </c>
      <c r="D48" s="16" t="s">
        <v>113</v>
      </c>
      <c r="E48" s="1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16"/>
    </row>
    <row r="49" spans="2:20" x14ac:dyDescent="0.3">
      <c r="B49" s="17" t="s">
        <v>116</v>
      </c>
      <c r="C49" s="2" t="s">
        <v>114</v>
      </c>
      <c r="D49" s="16" t="s">
        <v>113</v>
      </c>
      <c r="E49" s="1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16"/>
    </row>
    <row r="50" spans="2:20" x14ac:dyDescent="0.3">
      <c r="B50" s="17" t="s">
        <v>115</v>
      </c>
      <c r="C50" s="2" t="s">
        <v>114</v>
      </c>
      <c r="D50" s="16" t="s">
        <v>113</v>
      </c>
      <c r="E50" s="1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16"/>
    </row>
    <row r="51" spans="2:20" x14ac:dyDescent="0.3">
      <c r="B51" s="17" t="s">
        <v>112</v>
      </c>
      <c r="C51" s="2" t="s">
        <v>109</v>
      </c>
      <c r="D51" s="16"/>
      <c r="E51" s="1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6"/>
    </row>
    <row r="52" spans="2:20" x14ac:dyDescent="0.3">
      <c r="B52" s="17" t="s">
        <v>111</v>
      </c>
      <c r="C52" s="2" t="s">
        <v>109</v>
      </c>
      <c r="D52" s="16"/>
      <c r="E52" s="1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16"/>
    </row>
    <row r="53" spans="2:20" ht="15" thickBot="1" x14ac:dyDescent="0.35">
      <c r="B53" s="15" t="s">
        <v>110</v>
      </c>
      <c r="C53" s="14" t="s">
        <v>109</v>
      </c>
      <c r="D53" s="13"/>
      <c r="E53" s="15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3"/>
    </row>
  </sheetData>
  <conditionalFormatting sqref="B3:D53">
    <cfRule type="expression" dxfId="1" priority="1">
      <formula>$C3="Y"</formula>
    </cfRule>
    <cfRule type="expression" dxfId="0" priority="2">
      <formula>$C3="N"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Connection Guide</vt:lpstr>
      <vt:lpstr>Pin selection, report</vt:lpstr>
      <vt:lpstr>CN7 Schematic</vt:lpstr>
      <vt:lpstr>CN10 Schematic</vt:lpstr>
      <vt:lpstr>All 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Katherine Meezan</dc:creator>
  <cp:keywords/>
  <dc:description/>
  <cp:lastModifiedBy>Katherine Meezan</cp:lastModifiedBy>
  <cp:revision/>
  <cp:lastPrinted>2025-12-12T01:53:28Z</cp:lastPrinted>
  <dcterms:created xsi:type="dcterms:W3CDTF">2025-11-06T19:22:25Z</dcterms:created>
  <dcterms:modified xsi:type="dcterms:W3CDTF">2025-12-13T01:59:57Z</dcterms:modified>
  <cp:category/>
  <cp:contentStatus/>
</cp:coreProperties>
</file>